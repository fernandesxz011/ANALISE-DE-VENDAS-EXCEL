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6"/>
  <workbookPr defaultThemeVersion="166925"/>
  <xr:revisionPtr revIDLastSave="0" documentId="8_{5404E77A-BDEA-4BFA-A053-88462FBECC03}" xr6:coauthVersionLast="47" xr6:coauthVersionMax="47" xr10:uidLastSave="{00000000-0000-0000-0000-000000000000}"/>
  <bookViews>
    <workbookView xWindow="240" yWindow="105" windowWidth="14805" windowHeight="8010" firstSheet="4" activeTab="7" xr2:uid="{00000000-000D-0000-FFFF-FFFF00000000}"/>
  </bookViews>
  <sheets>
    <sheet name="AULA 1" sheetId="1" r:id="rId1"/>
    <sheet name="A2 E 3,4" sheetId="2" r:id="rId2"/>
    <sheet name="A5" sheetId="3" r:id="rId3"/>
    <sheet name="A5.1" sheetId="4" r:id="rId4"/>
    <sheet name="A7" sheetId="5" r:id="rId5"/>
    <sheet name="A8" sheetId="6" r:id="rId6"/>
    <sheet name="PROJETO VENDAS" sheetId="7" r:id="rId7"/>
    <sheet name="ANALISE DE PRODUTOS" sheetId="8" r:id="rId8"/>
  </sheets>
  <calcPr calcId="191028"/>
  <pivotCaches>
    <pivotCache cacheId="145" r:id="rId9"/>
    <pivotCache cacheId="200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6" i="7" l="1"/>
  <c r="G3" i="7"/>
  <c r="G4" i="7"/>
  <c r="G5" i="7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" i="7"/>
  <c r="C3" i="6"/>
  <c r="C4" i="6"/>
  <c r="C5" i="6"/>
  <c r="C6" i="6"/>
  <c r="C2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C15" i="5"/>
  <c r="C11" i="5"/>
  <c r="B10" i="5"/>
  <c r="D5" i="2" a="1"/>
  <c r="D5" i="2"/>
  <c r="D6" i="2" a="1"/>
  <c r="D6" i="2"/>
  <c r="D7" i="2" a="1"/>
  <c r="D7" i="2"/>
  <c r="D8" i="2" a="1"/>
  <c r="D8" i="2"/>
  <c r="D9" i="2" a="1"/>
  <c r="D9" i="2"/>
  <c r="D10" i="2" a="1"/>
  <c r="D10" i="2"/>
  <c r="D11" i="2" a="1"/>
  <c r="D11" i="2"/>
  <c r="D12" i="2" a="1"/>
  <c r="D12" i="2"/>
  <c r="D13" i="2" a="1"/>
  <c r="D13" i="2"/>
  <c r="D14" i="2" a="1"/>
  <c r="D14" i="2"/>
  <c r="D15" i="2" a="1"/>
  <c r="D15" i="2"/>
  <c r="D16" i="2" a="1"/>
  <c r="D16" i="2"/>
  <c r="D17" i="2" a="1"/>
  <c r="D17" i="2"/>
  <c r="D18" i="2" a="1"/>
  <c r="D18" i="2"/>
  <c r="D19" i="2" a="1"/>
  <c r="D19" i="2"/>
  <c r="D20" i="2" a="1"/>
  <c r="D20" i="2"/>
  <c r="D21" i="2" a="1"/>
  <c r="D21" i="2"/>
  <c r="D22" i="2" a="1"/>
  <c r="D22" i="2"/>
  <c r="D23" i="2" a="1"/>
  <c r="D23" i="2"/>
  <c r="D24" i="2" a="1"/>
  <c r="D24" i="2"/>
  <c r="D25" i="2" a="1"/>
  <c r="D25" i="2"/>
  <c r="D26" i="2" a="1"/>
  <c r="D26" i="2"/>
  <c r="D27" i="2" a="1"/>
  <c r="D27" i="2"/>
  <c r="D28" i="2" a="1"/>
  <c r="D28" i="2"/>
  <c r="D29" i="2" a="1"/>
  <c r="D29" i="2"/>
  <c r="D30" i="2" a="1"/>
  <c r="D30" i="2"/>
  <c r="D31" i="2" a="1"/>
  <c r="D31" i="2"/>
  <c r="D32" i="2" a="1"/>
  <c r="D32" i="2"/>
  <c r="D33" i="2" a="1"/>
  <c r="D33" i="2"/>
  <c r="D34" i="2" a="1"/>
  <c r="D34" i="2"/>
  <c r="D35" i="2" a="1"/>
  <c r="D35" i="2"/>
  <c r="D36" i="2" a="1"/>
  <c r="D36" i="2"/>
  <c r="D37" i="2" a="1"/>
  <c r="D37" i="2"/>
  <c r="D38" i="2" a="1"/>
  <c r="D38" i="2"/>
  <c r="D39" i="2" a="1"/>
  <c r="D39" i="2"/>
  <c r="D40" i="2" a="1"/>
  <c r="D40" i="2"/>
  <c r="D41" i="2" a="1"/>
  <c r="D41" i="2"/>
  <c r="D42" i="2" a="1"/>
  <c r="D42" i="2"/>
  <c r="D43" i="2" a="1"/>
  <c r="D43" i="2"/>
  <c r="D44" i="2" a="1"/>
  <c r="D44" i="2"/>
  <c r="D45" i="2" a="1"/>
  <c r="D45" i="2"/>
  <c r="D46" i="2" a="1"/>
  <c r="D46" i="2"/>
  <c r="D47" i="2" a="1"/>
  <c r="D47" i="2"/>
  <c r="D48" i="2" a="1"/>
  <c r="D48" i="2"/>
  <c r="D49" i="2" a="1"/>
  <c r="D49" i="2"/>
  <c r="D50" i="2" a="1"/>
  <c r="D50" i="2"/>
  <c r="D51" i="2" a="1"/>
  <c r="D51" i="2"/>
  <c r="D52" i="2" a="1"/>
  <c r="D52" i="2"/>
  <c r="D53" i="2" a="1"/>
  <c r="D53" i="2"/>
  <c r="D54" i="2" a="1"/>
  <c r="D54" i="2"/>
  <c r="D55" i="2" a="1"/>
  <c r="D55" i="2"/>
  <c r="D56" i="2" a="1"/>
  <c r="D56" i="2"/>
  <c r="D57" i="2" a="1"/>
  <c r="D57" i="2"/>
  <c r="D58" i="2" a="1"/>
  <c r="D58" i="2"/>
  <c r="D59" i="2" a="1"/>
  <c r="D59" i="2"/>
  <c r="D60" i="2" a="1"/>
  <c r="D60" i="2"/>
  <c r="D61" i="2" a="1"/>
  <c r="D61" i="2"/>
  <c r="D62" i="2" a="1"/>
  <c r="D62" i="2"/>
  <c r="D63" i="2" a="1"/>
  <c r="D63" i="2"/>
  <c r="D64" i="2" a="1"/>
  <c r="D64" i="2"/>
  <c r="D65" i="2" a="1"/>
  <c r="D65" i="2"/>
  <c r="D66" i="2" a="1"/>
  <c r="D66" i="2"/>
  <c r="D67" i="2" a="1"/>
  <c r="D67" i="2"/>
  <c r="D68" i="2" a="1"/>
  <c r="D68" i="2"/>
  <c r="D69" i="2" a="1"/>
  <c r="D69" i="2"/>
  <c r="D70" i="2" a="1"/>
  <c r="D70" i="2"/>
  <c r="D71" i="2" a="1"/>
  <c r="D71" i="2"/>
  <c r="D72" i="2" a="1"/>
  <c r="D72" i="2"/>
  <c r="D73" i="2" a="1"/>
  <c r="D73" i="2"/>
  <c r="D74" i="2" a="1"/>
  <c r="D74" i="2"/>
  <c r="D75" i="2" a="1"/>
  <c r="D75" i="2"/>
  <c r="D76" i="2" a="1"/>
  <c r="D76" i="2"/>
  <c r="D77" i="2" a="1"/>
  <c r="D77" i="2"/>
  <c r="D78" i="2" a="1"/>
  <c r="D78" i="2"/>
  <c r="D79" i="2" a="1"/>
  <c r="D79" i="2"/>
  <c r="D80" i="2" a="1"/>
  <c r="D80" i="2"/>
  <c r="D81" i="2" a="1"/>
  <c r="D81" i="2"/>
  <c r="D82" i="2" a="1"/>
  <c r="D82" i="2"/>
  <c r="D83" i="2" a="1"/>
  <c r="D83" i="2"/>
  <c r="D84" i="2" a="1"/>
  <c r="D84" i="2"/>
  <c r="D85" i="2" a="1"/>
  <c r="D85" i="2"/>
  <c r="D86" i="2" a="1"/>
  <c r="D86" i="2"/>
  <c r="D87" i="2" a="1"/>
  <c r="D87" i="2"/>
  <c r="D88" i="2" a="1"/>
  <c r="D88" i="2"/>
  <c r="D89" i="2" a="1"/>
  <c r="D89" i="2"/>
  <c r="D90" i="2" a="1"/>
  <c r="D90" i="2"/>
  <c r="D91" i="2" a="1"/>
  <c r="D91" i="2"/>
  <c r="D92" i="2" a="1"/>
  <c r="D92" i="2"/>
  <c r="D93" i="2" a="1"/>
  <c r="D93" i="2"/>
  <c r="D94" i="2" a="1"/>
  <c r="D94" i="2"/>
  <c r="D95" i="2" a="1"/>
  <c r="D95" i="2"/>
  <c r="D96" i="2" a="1"/>
  <c r="D96" i="2"/>
  <c r="D97" i="2" a="1"/>
  <c r="D97" i="2"/>
  <c r="D98" i="2" a="1"/>
  <c r="D98" i="2"/>
  <c r="D99" i="2" a="1"/>
  <c r="D99" i="2"/>
  <c r="D100" i="2" a="1"/>
  <c r="D100" i="2"/>
  <c r="D101" i="2" a="1"/>
  <c r="D101" i="2"/>
  <c r="D102" i="2" a="1"/>
  <c r="D102" i="2"/>
  <c r="D103" i="2" a="1"/>
  <c r="D103" i="2"/>
  <c r="D104" i="2" a="1"/>
  <c r="D104" i="2"/>
  <c r="D105" i="2" a="1"/>
  <c r="D105" i="2"/>
  <c r="D106" i="2" a="1"/>
  <c r="D106" i="2"/>
  <c r="D107" i="2" a="1"/>
  <c r="D107" i="2"/>
  <c r="D108" i="2" a="1"/>
  <c r="D108" i="2"/>
  <c r="D109" i="2" a="1"/>
  <c r="D109" i="2"/>
  <c r="D110" i="2" a="1"/>
  <c r="D110" i="2"/>
  <c r="D111" i="2" a="1"/>
  <c r="D111" i="2"/>
  <c r="D112" i="2" a="1"/>
  <c r="D112" i="2"/>
  <c r="D113" i="2" a="1"/>
  <c r="D113" i="2"/>
  <c r="D114" i="2" a="1"/>
  <c r="D114" i="2"/>
  <c r="D115" i="2" a="1"/>
  <c r="D115" i="2"/>
  <c r="D116" i="2" a="1"/>
  <c r="D116" i="2"/>
  <c r="D117" i="2" a="1"/>
  <c r="D117" i="2"/>
  <c r="D118" i="2" a="1"/>
  <c r="D118" i="2"/>
  <c r="D119" i="2" a="1"/>
  <c r="D119" i="2"/>
  <c r="D120" i="2" a="1"/>
  <c r="D120" i="2"/>
  <c r="D121" i="2" a="1"/>
  <c r="D121" i="2"/>
  <c r="D122" i="2" a="1"/>
  <c r="D122" i="2"/>
  <c r="D123" i="2" a="1"/>
  <c r="D123" i="2"/>
  <c r="D124" i="2" a="1"/>
  <c r="D124" i="2"/>
  <c r="D125" i="2" a="1"/>
  <c r="D125" i="2"/>
  <c r="D126" i="2" a="1"/>
  <c r="D126" i="2"/>
  <c r="D127" i="2" a="1"/>
  <c r="D127" i="2"/>
  <c r="D128" i="2" a="1"/>
  <c r="D128" i="2"/>
  <c r="D129" i="2" a="1"/>
  <c r="D129" i="2"/>
  <c r="D130" i="2" a="1"/>
  <c r="D130" i="2"/>
  <c r="D131" i="2" a="1"/>
  <c r="D131" i="2"/>
  <c r="D132" i="2" a="1"/>
  <c r="D132" i="2"/>
  <c r="D133" i="2" a="1"/>
  <c r="D133" i="2"/>
  <c r="D134" i="2" a="1"/>
  <c r="D134" i="2"/>
  <c r="D135" i="2" a="1"/>
  <c r="D135" i="2"/>
  <c r="D136" i="2" a="1"/>
  <c r="D136" i="2"/>
  <c r="D137" i="2" a="1"/>
  <c r="D137" i="2"/>
  <c r="D138" i="2" a="1"/>
  <c r="D138" i="2"/>
  <c r="D139" i="2" a="1"/>
  <c r="D139" i="2"/>
  <c r="F3" i="2"/>
  <c r="F2" i="2"/>
  <c r="D2" i="2" a="1"/>
  <c r="D2" i="2"/>
  <c r="D3" i="2" a="1"/>
  <c r="D3" i="2"/>
  <c r="D4" i="2" a="1"/>
  <c r="D4" i="2"/>
  <c r="F4" i="2" s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2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3" i="1"/>
  <c r="H2" i="1"/>
  <c r="K7" i="7" l="1"/>
  <c r="K5" i="7"/>
  <c r="K4" i="7"/>
  <c r="K3" i="7"/>
  <c r="K2" i="7"/>
  <c r="K8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<sst xmlns="http://schemas.openxmlformats.org/spreadsheetml/2006/main" count="175" uniqueCount="67">
  <si>
    <t>DATA</t>
  </si>
  <si>
    <t>VENDEDOR</t>
  </si>
  <si>
    <t>PRODUTO</t>
  </si>
  <si>
    <t>CATEGORIA</t>
  </si>
  <si>
    <t xml:space="preserve">CIDADE </t>
  </si>
  <si>
    <t>QUANTIDADE</t>
  </si>
  <si>
    <t xml:space="preserve">VALOR UNITARIO </t>
  </si>
  <si>
    <t>TOTAL</t>
  </si>
  <si>
    <t>DESCONTO</t>
  </si>
  <si>
    <t>FILIPE</t>
  </si>
  <si>
    <t xml:space="preserve">TECLADO </t>
  </si>
  <si>
    <t>INFORMATICA</t>
  </si>
  <si>
    <t>COTIA</t>
  </si>
  <si>
    <t>GUSTAVO</t>
  </si>
  <si>
    <t>MOUSE</t>
  </si>
  <si>
    <t>SP</t>
  </si>
  <si>
    <t xml:space="preserve"> </t>
  </si>
  <si>
    <t>NOME</t>
  </si>
  <si>
    <t>NOTA</t>
  </si>
  <si>
    <t>PRESENÇA</t>
  </si>
  <si>
    <t>RESULTADO</t>
  </si>
  <si>
    <t>JOÃO</t>
  </si>
  <si>
    <t>MATHEUS</t>
  </si>
  <si>
    <t>DOUGLAS</t>
  </si>
  <si>
    <t>SETOR</t>
  </si>
  <si>
    <t>CIDADE</t>
  </si>
  <si>
    <t>SALARIO</t>
  </si>
  <si>
    <t>RH</t>
  </si>
  <si>
    <t>ANA</t>
  </si>
  <si>
    <t>TI</t>
  </si>
  <si>
    <t>RJ</t>
  </si>
  <si>
    <t>PEDRO</t>
  </si>
  <si>
    <t>CARLOS</t>
  </si>
  <si>
    <t>MG</t>
  </si>
  <si>
    <t>JULIA</t>
  </si>
  <si>
    <t>FINANCEIRO</t>
  </si>
  <si>
    <t>(Tudo)</t>
  </si>
  <si>
    <t>Média de SALARIO</t>
  </si>
  <si>
    <t>ANA Total</t>
  </si>
  <si>
    <t>CARLOS Total</t>
  </si>
  <si>
    <t>JOÃO Total</t>
  </si>
  <si>
    <t>JULIA Total</t>
  </si>
  <si>
    <t>PEDRO Total</t>
  </si>
  <si>
    <t>Total Geral</t>
  </si>
  <si>
    <t>VALOR</t>
  </si>
  <si>
    <t>TECLADO</t>
  </si>
  <si>
    <t>CADEIRA</t>
  </si>
  <si>
    <t>ESCRITORIO</t>
  </si>
  <si>
    <t>MESA</t>
  </si>
  <si>
    <t>MONITOR</t>
  </si>
  <si>
    <t>Felipe</t>
  </si>
  <si>
    <t>Joao</t>
  </si>
  <si>
    <t>Maria</t>
  </si>
  <si>
    <t>Pedro</t>
  </si>
  <si>
    <t>Ana</t>
  </si>
  <si>
    <t>VALOR UNITARIO</t>
  </si>
  <si>
    <t>VALOR TOTAL</t>
  </si>
  <si>
    <t>INFORMAÇÕES DE VENDAS</t>
  </si>
  <si>
    <t>VALORES:</t>
  </si>
  <si>
    <t>FATURAMENTO TOTAL:</t>
  </si>
  <si>
    <t>TICKET MEDIO:</t>
  </si>
  <si>
    <t>MAIOR VENDA:</t>
  </si>
  <si>
    <t>MENOR VENDA:</t>
  </si>
  <si>
    <t>QUANTIDADE DE VENDAS:</t>
  </si>
  <si>
    <t>FATURAMENTO INFORMATICA:</t>
  </si>
  <si>
    <t>FATURAMENTO ESCRITORIO:</t>
  </si>
  <si>
    <t>Soma de VALOR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</si>
</sst>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0000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1" fillId="0" borderId="0" xfId="0" applyFont="1" applyAlignment="1">
      <alignment wrapText="1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wrapText="1"/>
    </xf>
  </cellXfs>
  <cellStyles count="1">
    <cellStyle name="Normal" xfId="0" builtinId="0"/>
  </cellStyles>
  <dxfs count="11">
    <dxf>
      <numFmt numFmtId="19" formatCode="dd/mm/yyyy"/>
    </dxf>
    <dxf>
      <numFmt numFmtId="0" formatCode="General"/>
    </dxf>
    <dxf>
      <numFmt numFmtId="0" formatCode="General"/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numFmt numFmtId="0" formatCode="General"/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[Book.xlsx]A5.1!Tabela dinâmica1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A5.1!$C$3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A5.1!$A$4:$B$14</c:f>
              <c:multiLvlStrCache>
                <c:ptCount val="5"/>
                <c:lvl>
                  <c:pt idx="0">
                    <c:v>TI</c:v>
                  </c:pt>
                  <c:pt idx="1">
                    <c:v>TI</c:v>
                  </c:pt>
                  <c:pt idx="2">
                    <c:v>RH</c:v>
                  </c:pt>
                  <c:pt idx="3">
                    <c:v>FINANCEIRO</c:v>
                  </c:pt>
                  <c:pt idx="4">
                    <c:v>RH</c:v>
                  </c:pt>
                </c:lvl>
                <c:lvl>
                  <c:pt idx="0">
                    <c:v>ANA</c:v>
                  </c:pt>
                  <c:pt idx="1">
                    <c:v>CARLOS</c:v>
                  </c:pt>
                  <c:pt idx="2">
                    <c:v>JOÃO</c:v>
                  </c:pt>
                  <c:pt idx="3">
                    <c:v>JULIA</c:v>
                  </c:pt>
                  <c:pt idx="4">
                    <c:v>PEDRO</c:v>
                  </c:pt>
                </c:lvl>
              </c:multiLvlStrCache>
            </c:multiLvlStrRef>
          </c:cat>
          <c:val>
            <c:numRef>
              <c:f>A5.1!$C$4:$C$14</c:f>
              <c:numCache>
                <c:formatCode>General</c:formatCode>
                <c:ptCount val="5"/>
                <c:pt idx="0">
                  <c:v>5000</c:v>
                </c:pt>
                <c:pt idx="1">
                  <c:v>4500</c:v>
                </c:pt>
                <c:pt idx="2">
                  <c:v>2000</c:v>
                </c:pt>
                <c:pt idx="3">
                  <c:v>4000</c:v>
                </c:pt>
                <c:pt idx="4">
                  <c:v>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66C-47B8-8B3E-6F30A45959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43802887"/>
        <c:axId val="2143804935"/>
      </c:barChart>
      <c:catAx>
        <c:axId val="2143802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3804935"/>
        <c:crosses val="autoZero"/>
        <c:auto val="1"/>
        <c:lblAlgn val="ctr"/>
        <c:lblOffset val="100"/>
        <c:noMultiLvlLbl val="0"/>
      </c:catAx>
      <c:valAx>
        <c:axId val="2143804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38028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[Book.xlsx]ANALISE DE PRODUTOS!Tabela dinâmica2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faturamento por produto</a:t>
            </a:r>
          </a:p>
        </c:rich>
      </c:tx>
      <c:layout>
        <c:manualLayout>
          <c:xMode val="edge"/>
          <c:yMode val="edge"/>
          <c:x val="0.35697904501019712"/>
          <c:y val="2.66204056916413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'ANALISE DE PRODUTOS'!$B$1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'ANALISE DE PRODUTOS'!$A$2:$A$7</c:f>
              <c:strCache>
                <c:ptCount val="5"/>
                <c:pt idx="0">
                  <c:v>MONITOR</c:v>
                </c:pt>
                <c:pt idx="1">
                  <c:v>MESA</c:v>
                </c:pt>
                <c:pt idx="2">
                  <c:v>CADEIRA</c:v>
                </c:pt>
                <c:pt idx="3">
                  <c:v>TECLADO</c:v>
                </c:pt>
                <c:pt idx="4">
                  <c:v>MOUSE</c:v>
                </c:pt>
              </c:strCache>
            </c:strRef>
          </c:cat>
          <c:val>
            <c:numRef>
              <c:f>'ANALISE DE PRODUTOS'!$B$2:$B$7</c:f>
              <c:numCache>
                <c:formatCode>General</c:formatCode>
                <c:ptCount val="5"/>
                <c:pt idx="0">
                  <c:v>4500</c:v>
                </c:pt>
                <c:pt idx="1">
                  <c:v>4000</c:v>
                </c:pt>
                <c:pt idx="2">
                  <c:v>3000</c:v>
                </c:pt>
                <c:pt idx="3">
                  <c:v>960</c:v>
                </c:pt>
                <c:pt idx="4">
                  <c:v>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D25-4A79-BE3D-CA6DC4D7E2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38986760"/>
        <c:axId val="638988808"/>
      </c:barChart>
      <c:catAx>
        <c:axId val="638986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8988808"/>
        <c:crosses val="autoZero"/>
        <c:auto val="1"/>
        <c:lblAlgn val="ctr"/>
        <c:lblOffset val="100"/>
        <c:noMultiLvlLbl val="0"/>
      </c:catAx>
      <c:valAx>
        <c:axId val="638988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8986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495300</xdr:colOff>
      <xdr:row>1</xdr:row>
      <xdr:rowOff>142875</xdr:rowOff>
    </xdr:from>
    <xdr:to>
      <xdr:col>11</xdr:col>
      <xdr:colOff>38100</xdr:colOff>
      <xdr:row>16</xdr:row>
      <xdr:rowOff>28575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DE07319-34C3-37CA-137C-CDEA64C205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38100</xdr:colOff>
      <xdr:row>1</xdr:row>
      <xdr:rowOff>28575</xdr:rowOff>
    </xdr:from>
    <xdr:to>
      <xdr:col>11</xdr:col>
      <xdr:colOff>342900</xdr:colOff>
      <xdr:row>15</xdr:row>
      <xdr:rowOff>104775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5A80AE2-0014-78C1-C7C1-B3187244A6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68.443918171295" createdVersion="8" refreshedVersion="8" minRefreshableVersion="3" recordCount="5" xr:uid="{03E0B782-0340-43EF-894A-1E4508A62A6A}">
  <cacheSource type="worksheet">
    <worksheetSource name="Tabela3"/>
  </cacheSource>
  <cacheFields count="4">
    <cacheField name="NOME" numFmtId="0">
      <sharedItems count="5">
        <s v="JOÃO"/>
        <s v="ANA"/>
        <s v="PEDRO"/>
        <s v="CARLOS"/>
        <s v="JULIA"/>
      </sharedItems>
    </cacheField>
    <cacheField name="SETOR" numFmtId="0">
      <sharedItems count="3">
        <s v="RH"/>
        <s v="TI"/>
        <s v="FINANCEIRO"/>
      </sharedItems>
    </cacheField>
    <cacheField name="CIDADE" numFmtId="0">
      <sharedItems count="3">
        <s v="SP"/>
        <s v="RJ"/>
        <s v="MG"/>
      </sharedItems>
    </cacheField>
    <cacheField name="SALARIO" numFmtId="0">
      <sharedItems containsSemiMixedTypes="0" containsString="0" containsNumber="1" containsInteger="1" minValue="2000" maxValue="5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76.485479050927" createdVersion="8" refreshedVersion="8" minRefreshableVersion="3" recordCount="70" xr:uid="{61879083-A5CB-4B06-84CD-A405D93C5D44}">
  <cacheSource type="worksheet">
    <worksheetSource ref="A1:K1048576" sheet="PROJETO VENDAS"/>
  </cacheSource>
  <cacheFields count="11">
    <cacheField name="DATA" numFmtId="0">
      <sharedItems containsNonDate="0" containsDate="1" containsString="0" containsBlank="1" minDate="2026-05-01T00:00:00" maxDate="2026-05-11T00:00:00" count="11">
        <d v="2026-05-01T00:00:00"/>
        <d v="2026-05-02T00:00:00"/>
        <d v="2026-05-03T00:00:00"/>
        <d v="2026-05-04T00:00:00"/>
        <d v="2026-05-05T00:00:00"/>
        <d v="2026-05-06T00:00:00"/>
        <d v="2026-05-07T00:00:00"/>
        <d v="2026-05-08T00:00:00"/>
        <d v="2026-05-09T00:00:00"/>
        <d v="2026-05-10T00:00:00"/>
        <m/>
      </sharedItems>
    </cacheField>
    <cacheField name="PRODUTO" numFmtId="0">
      <sharedItems containsBlank="1" count="6">
        <s v="MOUSE"/>
        <s v="TECLADO"/>
        <s v="MONITOR"/>
        <s v="CADEIRA"/>
        <s v="MESA"/>
        <m/>
      </sharedItems>
    </cacheField>
    <cacheField name="CATEGORIA" numFmtId="0">
      <sharedItems containsBlank="1" count="3">
        <s v="INFORMATICA"/>
        <s v="ESCRITORIO"/>
        <m/>
      </sharedItems>
    </cacheField>
    <cacheField name="VENDEDOR" numFmtId="0">
      <sharedItems containsBlank="1" count="4">
        <s v="FILIPE"/>
        <s v="GUSTAVO"/>
        <s v="MATHEUS"/>
        <m/>
      </sharedItems>
    </cacheField>
    <cacheField name="QUANTIDADE" numFmtId="0">
      <sharedItems containsString="0" containsBlank="1" containsNumber="1" containsInteger="1" minValue="1" maxValue="5" count="6">
        <n v="2"/>
        <n v="1"/>
        <n v="3"/>
        <n v="4"/>
        <n v="5"/>
        <m/>
      </sharedItems>
    </cacheField>
    <cacheField name="VALOR UNITARIO" numFmtId="0">
      <sharedItems containsString="0" containsBlank="1" containsNumber="1" containsInteger="1" minValue="50" maxValue="900" count="6">
        <n v="50"/>
        <n v="120"/>
        <n v="900"/>
        <n v="500"/>
        <n v="800"/>
        <m/>
      </sharedItems>
    </cacheField>
    <cacheField name="VALOR TOTAL" numFmtId="0">
      <sharedItems containsString="0" containsBlank="1" containsNumber="1" containsInteger="1" minValue="100" maxValue="1800" count="14">
        <n v="100"/>
        <n v="120"/>
        <n v="900"/>
        <n v="1000"/>
        <n v="800"/>
        <n v="150"/>
        <n v="240"/>
        <n v="500"/>
        <n v="1800"/>
        <n v="200"/>
        <n v="1600"/>
        <n v="250"/>
        <n v="360"/>
        <m/>
      </sharedItems>
    </cacheField>
    <cacheField name="Field8" caption="Campo8" numFmtId="0">
      <sharedItems containsNonDate="0" containsString="0" containsBlank="1"/>
    </cacheField>
    <cacheField name="Field9" caption="Campo9" numFmtId="0">
      <sharedItems containsNonDate="0" containsString="0" containsBlank="1"/>
    </cacheField>
    <cacheField name="FATURAMENTO TOTAL:" numFmtId="0">
      <sharedItems containsBlank="1"/>
    </cacheField>
    <cacheField name="13160" numFmtId="0">
      <sharedItems containsString="0" containsBlank="1" containsNumber="1" containsInteger="1" minValue="20" maxValue="674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x v="0"/>
    <x v="0"/>
    <n v="2000"/>
  </r>
  <r>
    <x v="1"/>
    <x v="1"/>
    <x v="1"/>
    <n v="5000"/>
  </r>
  <r>
    <x v="2"/>
    <x v="0"/>
    <x v="0"/>
    <n v="3000"/>
  </r>
  <r>
    <x v="3"/>
    <x v="1"/>
    <x v="2"/>
    <n v="4500"/>
  </r>
  <r>
    <x v="4"/>
    <x v="2"/>
    <x v="0"/>
    <n v="40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">
  <r>
    <x v="0"/>
    <x v="0"/>
    <x v="0"/>
    <x v="0"/>
    <x v="0"/>
    <x v="0"/>
    <x v="0"/>
    <m/>
    <m/>
    <s v="TICKET MEDIO:"/>
    <n v="658"/>
  </r>
  <r>
    <x v="0"/>
    <x v="1"/>
    <x v="0"/>
    <x v="1"/>
    <x v="1"/>
    <x v="1"/>
    <x v="1"/>
    <m/>
    <m/>
    <s v="MAIOR VENDA:"/>
    <n v="1800"/>
  </r>
  <r>
    <x v="1"/>
    <x v="2"/>
    <x v="0"/>
    <x v="2"/>
    <x v="1"/>
    <x v="2"/>
    <x v="2"/>
    <m/>
    <m/>
    <s v="MENOR VENDA:"/>
    <n v="100"/>
  </r>
  <r>
    <x v="1"/>
    <x v="3"/>
    <x v="1"/>
    <x v="0"/>
    <x v="0"/>
    <x v="3"/>
    <x v="3"/>
    <m/>
    <m/>
    <s v="QUANTIDADE DE VENDAS:"/>
    <n v="20"/>
  </r>
  <r>
    <x v="2"/>
    <x v="4"/>
    <x v="1"/>
    <x v="1"/>
    <x v="1"/>
    <x v="4"/>
    <x v="4"/>
    <m/>
    <m/>
    <s v="FATURAMENTO INFORMATICA:"/>
    <n v="6420"/>
  </r>
  <r>
    <x v="2"/>
    <x v="0"/>
    <x v="0"/>
    <x v="2"/>
    <x v="2"/>
    <x v="0"/>
    <x v="5"/>
    <m/>
    <m/>
    <s v="FATURAMENTO ESCRITORIO:"/>
    <n v="6740"/>
  </r>
  <r>
    <x v="3"/>
    <x v="1"/>
    <x v="0"/>
    <x v="0"/>
    <x v="0"/>
    <x v="1"/>
    <x v="6"/>
    <m/>
    <m/>
    <m/>
    <m/>
  </r>
  <r>
    <x v="3"/>
    <x v="3"/>
    <x v="1"/>
    <x v="1"/>
    <x v="1"/>
    <x v="3"/>
    <x v="7"/>
    <m/>
    <m/>
    <m/>
    <m/>
  </r>
  <r>
    <x v="4"/>
    <x v="2"/>
    <x v="0"/>
    <x v="2"/>
    <x v="0"/>
    <x v="2"/>
    <x v="8"/>
    <m/>
    <m/>
    <m/>
    <m/>
  </r>
  <r>
    <x v="4"/>
    <x v="4"/>
    <x v="1"/>
    <x v="0"/>
    <x v="1"/>
    <x v="4"/>
    <x v="4"/>
    <m/>
    <m/>
    <m/>
    <m/>
  </r>
  <r>
    <x v="5"/>
    <x v="0"/>
    <x v="0"/>
    <x v="1"/>
    <x v="3"/>
    <x v="0"/>
    <x v="9"/>
    <m/>
    <m/>
    <m/>
    <m/>
  </r>
  <r>
    <x v="5"/>
    <x v="1"/>
    <x v="1"/>
    <x v="2"/>
    <x v="0"/>
    <x v="1"/>
    <x v="6"/>
    <m/>
    <m/>
    <m/>
    <m/>
  </r>
  <r>
    <x v="6"/>
    <x v="3"/>
    <x v="0"/>
    <x v="0"/>
    <x v="1"/>
    <x v="3"/>
    <x v="7"/>
    <m/>
    <m/>
    <m/>
    <m/>
  </r>
  <r>
    <x v="6"/>
    <x v="2"/>
    <x v="0"/>
    <x v="1"/>
    <x v="1"/>
    <x v="2"/>
    <x v="2"/>
    <m/>
    <m/>
    <m/>
    <m/>
  </r>
  <r>
    <x v="7"/>
    <x v="4"/>
    <x v="1"/>
    <x v="2"/>
    <x v="0"/>
    <x v="4"/>
    <x v="10"/>
    <m/>
    <m/>
    <m/>
    <m/>
  </r>
  <r>
    <x v="7"/>
    <x v="0"/>
    <x v="0"/>
    <x v="0"/>
    <x v="4"/>
    <x v="0"/>
    <x v="11"/>
    <m/>
    <m/>
    <m/>
    <m/>
  </r>
  <r>
    <x v="8"/>
    <x v="1"/>
    <x v="0"/>
    <x v="1"/>
    <x v="2"/>
    <x v="1"/>
    <x v="12"/>
    <m/>
    <m/>
    <m/>
    <m/>
  </r>
  <r>
    <x v="8"/>
    <x v="3"/>
    <x v="1"/>
    <x v="2"/>
    <x v="0"/>
    <x v="3"/>
    <x v="3"/>
    <m/>
    <m/>
    <m/>
    <m/>
  </r>
  <r>
    <x v="9"/>
    <x v="2"/>
    <x v="0"/>
    <x v="0"/>
    <x v="1"/>
    <x v="2"/>
    <x v="2"/>
    <m/>
    <m/>
    <m/>
    <m/>
  </r>
  <r>
    <x v="9"/>
    <x v="4"/>
    <x v="1"/>
    <x v="1"/>
    <x v="1"/>
    <x v="4"/>
    <x v="4"/>
    <m/>
    <m/>
    <m/>
    <m/>
  </r>
  <r>
    <x v="10"/>
    <x v="5"/>
    <x v="2"/>
    <x v="3"/>
    <x v="5"/>
    <x v="5"/>
    <x v="13"/>
    <m/>
    <m/>
    <m/>
    <m/>
  </r>
  <r>
    <x v="10"/>
    <x v="5"/>
    <x v="2"/>
    <x v="3"/>
    <x v="5"/>
    <x v="5"/>
    <x v="13"/>
    <m/>
    <m/>
    <m/>
    <m/>
  </r>
  <r>
    <x v="10"/>
    <x v="5"/>
    <x v="2"/>
    <x v="3"/>
    <x v="5"/>
    <x v="5"/>
    <x v="13"/>
    <m/>
    <m/>
    <m/>
    <m/>
  </r>
  <r>
    <x v="10"/>
    <x v="5"/>
    <x v="2"/>
    <x v="3"/>
    <x v="5"/>
    <x v="5"/>
    <x v="13"/>
    <m/>
    <m/>
    <m/>
    <m/>
  </r>
  <r>
    <x v="10"/>
    <x v="5"/>
    <x v="2"/>
    <x v="3"/>
    <x v="5"/>
    <x v="5"/>
    <x v="13"/>
    <m/>
    <m/>
    <m/>
    <m/>
  </r>
  <r>
    <x v="10"/>
    <x v="5"/>
    <x v="2"/>
    <x v="3"/>
    <x v="5"/>
    <x v="5"/>
    <x v="13"/>
    <m/>
    <m/>
    <m/>
    <m/>
  </r>
  <r>
    <x v="10"/>
    <x v="5"/>
    <x v="2"/>
    <x v="3"/>
    <x v="5"/>
    <x v="5"/>
    <x v="13"/>
    <m/>
    <m/>
    <m/>
    <m/>
  </r>
  <r>
    <x v="10"/>
    <x v="5"/>
    <x v="2"/>
    <x v="3"/>
    <x v="5"/>
    <x v="5"/>
    <x v="13"/>
    <m/>
    <m/>
    <m/>
    <m/>
  </r>
  <r>
    <x v="10"/>
    <x v="5"/>
    <x v="2"/>
    <x v="3"/>
    <x v="5"/>
    <x v="5"/>
    <x v="13"/>
    <m/>
    <m/>
    <m/>
    <m/>
  </r>
  <r>
    <x v="10"/>
    <x v="5"/>
    <x v="2"/>
    <x v="3"/>
    <x v="5"/>
    <x v="5"/>
    <x v="13"/>
    <m/>
    <m/>
    <m/>
    <m/>
  </r>
  <r>
    <x v="10"/>
    <x v="5"/>
    <x v="2"/>
    <x v="3"/>
    <x v="5"/>
    <x v="5"/>
    <x v="13"/>
    <m/>
    <m/>
    <m/>
    <m/>
  </r>
  <r>
    <x v="10"/>
    <x v="5"/>
    <x v="2"/>
    <x v="3"/>
    <x v="5"/>
    <x v="5"/>
    <x v="13"/>
    <m/>
    <m/>
    <m/>
    <m/>
  </r>
  <r>
    <x v="10"/>
    <x v="5"/>
    <x v="2"/>
    <x v="3"/>
    <x v="5"/>
    <x v="5"/>
    <x v="13"/>
    <m/>
    <m/>
    <m/>
    <m/>
  </r>
  <r>
    <x v="10"/>
    <x v="5"/>
    <x v="2"/>
    <x v="3"/>
    <x v="5"/>
    <x v="5"/>
    <x v="13"/>
    <m/>
    <m/>
    <m/>
    <m/>
  </r>
  <r>
    <x v="10"/>
    <x v="5"/>
    <x v="2"/>
    <x v="3"/>
    <x v="5"/>
    <x v="5"/>
    <x v="13"/>
    <m/>
    <m/>
    <m/>
    <m/>
  </r>
  <r>
    <x v="10"/>
    <x v="5"/>
    <x v="2"/>
    <x v="3"/>
    <x v="5"/>
    <x v="5"/>
    <x v="13"/>
    <m/>
    <m/>
    <m/>
    <m/>
  </r>
  <r>
    <x v="10"/>
    <x v="5"/>
    <x v="2"/>
    <x v="3"/>
    <x v="5"/>
    <x v="5"/>
    <x v="13"/>
    <m/>
    <m/>
    <m/>
    <m/>
  </r>
  <r>
    <x v="10"/>
    <x v="5"/>
    <x v="2"/>
    <x v="3"/>
    <x v="5"/>
    <x v="5"/>
    <x v="13"/>
    <m/>
    <m/>
    <m/>
    <m/>
  </r>
  <r>
    <x v="10"/>
    <x v="5"/>
    <x v="2"/>
    <x v="3"/>
    <x v="5"/>
    <x v="5"/>
    <x v="13"/>
    <m/>
    <m/>
    <m/>
    <m/>
  </r>
  <r>
    <x v="10"/>
    <x v="5"/>
    <x v="2"/>
    <x v="3"/>
    <x v="5"/>
    <x v="5"/>
    <x v="13"/>
    <m/>
    <m/>
    <m/>
    <m/>
  </r>
  <r>
    <x v="10"/>
    <x v="5"/>
    <x v="2"/>
    <x v="3"/>
    <x v="5"/>
    <x v="5"/>
    <x v="13"/>
    <m/>
    <m/>
    <m/>
    <m/>
  </r>
  <r>
    <x v="10"/>
    <x v="5"/>
    <x v="2"/>
    <x v="3"/>
    <x v="5"/>
    <x v="5"/>
    <x v="13"/>
    <m/>
    <m/>
    <m/>
    <m/>
  </r>
  <r>
    <x v="10"/>
    <x v="5"/>
    <x v="2"/>
    <x v="3"/>
    <x v="5"/>
    <x v="5"/>
    <x v="13"/>
    <m/>
    <m/>
    <m/>
    <m/>
  </r>
  <r>
    <x v="10"/>
    <x v="5"/>
    <x v="2"/>
    <x v="3"/>
    <x v="5"/>
    <x v="5"/>
    <x v="13"/>
    <m/>
    <m/>
    <m/>
    <m/>
  </r>
  <r>
    <x v="10"/>
    <x v="5"/>
    <x v="2"/>
    <x v="3"/>
    <x v="5"/>
    <x v="5"/>
    <x v="13"/>
    <m/>
    <m/>
    <m/>
    <m/>
  </r>
  <r>
    <x v="10"/>
    <x v="5"/>
    <x v="2"/>
    <x v="3"/>
    <x v="5"/>
    <x v="5"/>
    <x v="13"/>
    <m/>
    <m/>
    <m/>
    <m/>
  </r>
  <r>
    <x v="10"/>
    <x v="5"/>
    <x v="2"/>
    <x v="3"/>
    <x v="5"/>
    <x v="5"/>
    <x v="13"/>
    <m/>
    <m/>
    <m/>
    <m/>
  </r>
  <r>
    <x v="10"/>
    <x v="5"/>
    <x v="2"/>
    <x v="3"/>
    <x v="5"/>
    <x v="5"/>
    <x v="13"/>
    <m/>
    <m/>
    <m/>
    <m/>
  </r>
  <r>
    <x v="10"/>
    <x v="5"/>
    <x v="2"/>
    <x v="3"/>
    <x v="5"/>
    <x v="5"/>
    <x v="13"/>
    <m/>
    <m/>
    <m/>
    <m/>
  </r>
  <r>
    <x v="10"/>
    <x v="5"/>
    <x v="2"/>
    <x v="3"/>
    <x v="5"/>
    <x v="5"/>
    <x v="13"/>
    <m/>
    <m/>
    <m/>
    <m/>
  </r>
  <r>
    <x v="10"/>
    <x v="5"/>
    <x v="2"/>
    <x v="3"/>
    <x v="5"/>
    <x v="5"/>
    <x v="13"/>
    <m/>
    <m/>
    <m/>
    <m/>
  </r>
  <r>
    <x v="10"/>
    <x v="5"/>
    <x v="2"/>
    <x v="3"/>
    <x v="5"/>
    <x v="5"/>
    <x v="13"/>
    <m/>
    <m/>
    <m/>
    <m/>
  </r>
  <r>
    <x v="10"/>
    <x v="5"/>
    <x v="2"/>
    <x v="3"/>
    <x v="5"/>
    <x v="5"/>
    <x v="13"/>
    <m/>
    <m/>
    <m/>
    <m/>
  </r>
  <r>
    <x v="10"/>
    <x v="5"/>
    <x v="2"/>
    <x v="3"/>
    <x v="5"/>
    <x v="5"/>
    <x v="13"/>
    <m/>
    <m/>
    <m/>
    <m/>
  </r>
  <r>
    <x v="10"/>
    <x v="5"/>
    <x v="2"/>
    <x v="3"/>
    <x v="5"/>
    <x v="5"/>
    <x v="13"/>
    <m/>
    <m/>
    <m/>
    <m/>
  </r>
  <r>
    <x v="10"/>
    <x v="5"/>
    <x v="2"/>
    <x v="3"/>
    <x v="5"/>
    <x v="5"/>
    <x v="13"/>
    <m/>
    <m/>
    <m/>
    <m/>
  </r>
  <r>
    <x v="10"/>
    <x v="5"/>
    <x v="2"/>
    <x v="3"/>
    <x v="5"/>
    <x v="5"/>
    <x v="13"/>
    <m/>
    <m/>
    <m/>
    <m/>
  </r>
  <r>
    <x v="10"/>
    <x v="5"/>
    <x v="2"/>
    <x v="3"/>
    <x v="5"/>
    <x v="5"/>
    <x v="13"/>
    <m/>
    <m/>
    <m/>
    <m/>
  </r>
  <r>
    <x v="10"/>
    <x v="5"/>
    <x v="2"/>
    <x v="3"/>
    <x v="5"/>
    <x v="5"/>
    <x v="13"/>
    <m/>
    <m/>
    <m/>
    <m/>
  </r>
  <r>
    <x v="10"/>
    <x v="5"/>
    <x v="2"/>
    <x v="3"/>
    <x v="5"/>
    <x v="5"/>
    <x v="13"/>
    <m/>
    <m/>
    <m/>
    <m/>
  </r>
  <r>
    <x v="10"/>
    <x v="5"/>
    <x v="2"/>
    <x v="3"/>
    <x v="5"/>
    <x v="5"/>
    <x v="13"/>
    <m/>
    <m/>
    <m/>
    <m/>
  </r>
  <r>
    <x v="10"/>
    <x v="5"/>
    <x v="2"/>
    <x v="3"/>
    <x v="5"/>
    <x v="5"/>
    <x v="13"/>
    <m/>
    <m/>
    <m/>
    <m/>
  </r>
  <r>
    <x v="10"/>
    <x v="5"/>
    <x v="2"/>
    <x v="3"/>
    <x v="5"/>
    <x v="5"/>
    <x v="13"/>
    <m/>
    <m/>
    <m/>
    <m/>
  </r>
  <r>
    <x v="10"/>
    <x v="5"/>
    <x v="2"/>
    <x v="3"/>
    <x v="5"/>
    <x v="5"/>
    <x v="13"/>
    <m/>
    <m/>
    <m/>
    <m/>
  </r>
  <r>
    <x v="10"/>
    <x v="5"/>
    <x v="2"/>
    <x v="3"/>
    <x v="5"/>
    <x v="5"/>
    <x v="13"/>
    <m/>
    <m/>
    <m/>
    <m/>
  </r>
  <r>
    <x v="10"/>
    <x v="5"/>
    <x v="2"/>
    <x v="3"/>
    <x v="5"/>
    <x v="5"/>
    <x v="13"/>
    <m/>
    <m/>
    <m/>
    <m/>
  </r>
  <r>
    <x v="10"/>
    <x v="5"/>
    <x v="2"/>
    <x v="3"/>
    <x v="5"/>
    <x v="5"/>
    <x v="13"/>
    <m/>
    <m/>
    <m/>
    <m/>
  </r>
  <r>
    <x v="10"/>
    <x v="5"/>
    <x v="2"/>
    <x v="3"/>
    <x v="5"/>
    <x v="5"/>
    <x v="13"/>
    <m/>
    <m/>
    <m/>
    <m/>
  </r>
  <r>
    <x v="10"/>
    <x v="5"/>
    <x v="2"/>
    <x v="3"/>
    <x v="5"/>
    <x v="5"/>
    <x v="13"/>
    <m/>
    <m/>
    <m/>
    <m/>
  </r>
  <r>
    <x v="10"/>
    <x v="5"/>
    <x v="2"/>
    <x v="3"/>
    <x v="5"/>
    <x v="5"/>
    <x v="13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487719-254C-4575-9EC5-9149987CDC67}" name="Tabela dinâmica1" cacheId="14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2">
  <location ref="A3:C14" firstHeaderRow="1" firstDataRow="1" firstDataCol="2" rowPageCount="1" colPageCount="1"/>
  <pivotFields count="4">
    <pivotField axis="axisRow" compact="0" outline="0" showAll="0">
      <items count="6">
        <item x="1"/>
        <item x="3"/>
        <item x="0"/>
        <item x="4"/>
        <item x="2"/>
        <item t="default"/>
      </items>
    </pivotField>
    <pivotField axis="axisRow" compact="0" outline="0" showAll="0">
      <items count="4">
        <item x="2"/>
        <item x="0"/>
        <item x="1"/>
        <item t="default"/>
      </items>
    </pivotField>
    <pivotField axis="axisPage" compact="0" outline="0" showAll="0">
      <items count="4">
        <item x="2"/>
        <item x="1"/>
        <item x="0"/>
        <item t="default"/>
      </items>
    </pivotField>
    <pivotField dataField="1" compact="0" outline="0" showAll="0"/>
  </pivotFields>
  <rowFields count="2">
    <field x="0"/>
    <field x="1"/>
  </rowFields>
  <rowItems count="11">
    <i>
      <x/>
      <x v="2"/>
    </i>
    <i t="default">
      <x/>
    </i>
    <i>
      <x v="1"/>
      <x v="2"/>
    </i>
    <i t="default">
      <x v="1"/>
    </i>
    <i>
      <x v="2"/>
      <x v="1"/>
    </i>
    <i t="default">
      <x v="2"/>
    </i>
    <i>
      <x v="3"/>
      <x/>
    </i>
    <i t="default">
      <x v="3"/>
    </i>
    <i>
      <x v="4"/>
      <x v="1"/>
    </i>
    <i t="default">
      <x v="4"/>
    </i>
    <i t="grand">
      <x/>
    </i>
  </rowItems>
  <colItems count="1">
    <i/>
  </colItems>
  <pageFields count="1">
    <pageField fld="2" hier="-1"/>
  </pageFields>
  <dataFields count="1">
    <dataField name="Média de SALARIO" fld="3" subtotal="average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869670-DDA3-4586-98A8-F574757BE652}" name="Tabela dinâmica2" cacheId="20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1">
  <location ref="A1:B7" firstHeaderRow="1" firstDataRow="1" firstDataCol="1"/>
  <pivotFields count="11">
    <pivotField compact="0" outline="0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axis="axisRow" compact="0" outline="0" showAll="0" sortType="descending">
      <items count="7">
        <item x="3"/>
        <item x="4"/>
        <item x="2"/>
        <item x="0"/>
        <item x="1"/>
        <item h="1"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>
      <items count="4">
        <item x="1"/>
        <item x="0"/>
        <item x="2"/>
        <item t="default"/>
      </items>
    </pivotField>
    <pivotField compact="0" outline="0" showAll="0">
      <items count="5">
        <item x="0"/>
        <item x="1"/>
        <item x="2"/>
        <item x="3"/>
        <item t="default"/>
      </items>
    </pivotField>
    <pivotField compact="0" outline="0" showAll="0">
      <items count="7">
        <item x="1"/>
        <item x="0"/>
        <item x="2"/>
        <item x="3"/>
        <item x="4"/>
        <item x="5"/>
        <item t="default"/>
      </items>
    </pivotField>
    <pivotField compact="0" outline="0" showAll="0">
      <items count="7">
        <item x="0"/>
        <item x="1"/>
        <item x="3"/>
        <item x="4"/>
        <item x="2"/>
        <item x="5"/>
        <item t="default"/>
      </items>
    </pivotField>
    <pivotField dataField="1" compact="0" outline="0" showAll="0">
      <items count="15">
        <item x="0"/>
        <item x="1"/>
        <item x="5"/>
        <item x="9"/>
        <item x="6"/>
        <item x="11"/>
        <item x="12"/>
        <item x="7"/>
        <item x="4"/>
        <item x="2"/>
        <item x="3"/>
        <item x="10"/>
        <item x="8"/>
        <item x="1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</pivotFields>
  <rowFields count="1">
    <field x="1"/>
  </rowFields>
  <rowItems count="6">
    <i>
      <x v="2"/>
    </i>
    <i>
      <x v="1"/>
    </i>
    <i>
      <x/>
    </i>
    <i>
      <x v="4"/>
    </i>
    <i>
      <x v="3"/>
    </i>
    <i t="grand">
      <x/>
    </i>
  </rowItems>
  <colItems count="1">
    <i/>
  </colItems>
  <dataFields count="1">
    <dataField name="Soma de VALOR TOTAL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CF3CE79-3578-4001-835A-6CB5A843B405}" name="tb_vendas" displayName="tb_vendas" ref="A1:I83" totalsRowShown="0">
  <autoFilter ref="A1:I83" xr:uid="{ECF3CE79-3578-4001-835A-6CB5A843B405}"/>
  <sortState xmlns:xlrd2="http://schemas.microsoft.com/office/spreadsheetml/2017/richdata2" ref="A2:H62">
    <sortCondition descending="1" ref="A1:A62"/>
  </sortState>
  <tableColumns count="9">
    <tableColumn id="1" xr3:uid="{861A4772-62F9-446F-AA46-36CE3EEE463F}" name="DATA"/>
    <tableColumn id="2" xr3:uid="{4ADF6596-FFB4-4FAD-8BC0-46B4E1C7A5D6}" name="VENDEDOR"/>
    <tableColumn id="3" xr3:uid="{923DD969-53AC-4D07-9CD1-83DC5E3F6863}" name="PRODUTO"/>
    <tableColumn id="4" xr3:uid="{BE384238-7A77-48E0-9676-B0E8A80A5FD9}" name="CATEGORIA"/>
    <tableColumn id="5" xr3:uid="{F6D31F5D-C280-49B4-8347-A6AE4E0487E3}" name="CIDADE "/>
    <tableColumn id="6" xr3:uid="{B97FCC2B-C19C-484D-87AA-804ADECC7061}" name="QUANTIDADE"/>
    <tableColumn id="7" xr3:uid="{ADDD0471-19B1-48C1-BBFE-5E9CD3EA03B3}" name="VALOR UNITARIO "/>
    <tableColumn id="8" xr3:uid="{C1AB44EF-15B7-4560-B4A9-E751DE93CC0A}" name="TOTAL">
      <calculatedColumnFormula>F2*G2</calculatedColumnFormula>
    </tableColumn>
    <tableColumn id="9" xr3:uid="{EDCC4D9D-83AA-4371-8BB4-3D2BBE307974}" name="DESCONTO" dataDxfId="9">
      <calculatedColumnFormula>IF(H2&gt;=100,H2 * 0.2, H2)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CBD78A4-8142-49AE-A2BF-037DF9BDC65C}" name="Tabela2" displayName="Tabela2" ref="A1:D139" totalsRowShown="0">
  <autoFilter ref="A1:D139" xr:uid="{0CBD78A4-8142-49AE-A2BF-037DF9BDC65C}"/>
  <tableColumns count="4">
    <tableColumn id="1" xr3:uid="{9C84C03D-B40B-4DA6-99E9-3DE80EFCCDCA}" name="NOME"/>
    <tableColumn id="2" xr3:uid="{E30399D9-9A8F-40E0-89A5-B3ED4564A409}" name="NOTA"/>
    <tableColumn id="3" xr3:uid="{408ED4B4-ADCF-4A4F-A4DC-A06BFBDFB11F}" name="PRESENÇA" dataDxfId="2"/>
    <tableColumn id="4" xr3:uid="{7391803F-1169-4677-8159-4E7FF65885F5}" name="RESULTADO" dataDxfId="1">
      <calculatedColumnFormula array="1">_xlfn.IFS(AND(B2&gt;=6,C2&gt;=75),"APROVADO", AND( B2&lt;=5,B2&gt;=4,C2&gt;=65), "RECUPERAÇÃO", AND(B2&lt;=4,C2&lt;=65), "REPROVADO")</calculatedColumnFormula>
    </tableColumn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4A4B96F-244E-4D6C-B876-ED9621354AFD}" name="Tabela4" displayName="Tabela4" ref="F1:G4" totalsRowShown="0">
  <autoFilter ref="F1:G4" xr:uid="{64A4B96F-244E-4D6C-B876-ED9621354AFD}"/>
  <tableColumns count="2">
    <tableColumn id="1" xr3:uid="{6B2B8EFE-A56C-4D1B-A45B-2D066BE9594B}" name="NOME"/>
    <tableColumn id="2" xr3:uid="{BAFF9C91-0C74-4BF6-91E5-C76030207423}" name="FILIPE"/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92ADBEC-D5AD-47D0-9BB4-5744C3AFAE84}" name="Tabela3" displayName="Tabela3" ref="A1:D6" totalsRowShown="0">
  <autoFilter ref="A1:D6" xr:uid="{792ADBEC-D5AD-47D0-9BB4-5744C3AFAE84}"/>
  <tableColumns count="4">
    <tableColumn id="1" xr3:uid="{F9AC1907-BD59-42A9-9672-1692D431FCCB}" name="NOME"/>
    <tableColumn id="2" xr3:uid="{60018ADB-FE26-44F7-B9AA-AED0B3C3D074}" name="SETOR"/>
    <tableColumn id="3" xr3:uid="{604A34F1-B250-4A38-BAB5-B6E32805D326}" name="CIDADE"/>
    <tableColumn id="4" xr3:uid="{693622E5-F95E-41C3-9727-10C1CE803E5F}" name="SALARIO"/>
  </tableColumns>
  <tableStyleInfo name="TableStyleMedium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1F12238-C294-4CEE-B38E-934A287C8A03}" name="Tabela5" displayName="Tabela5" ref="A1:C6" totalsRowShown="0">
  <autoFilter ref="A1:C6" xr:uid="{11F12238-C294-4CEE-B38E-934A287C8A03}"/>
  <tableColumns count="3">
    <tableColumn id="1" xr3:uid="{C57B2529-C708-4ECF-9CD9-A3D4EA9D38D9}" name="PRODUTO"/>
    <tableColumn id="2" xr3:uid="{239BC394-2ABB-4256-AE25-221024C7A238}" name="CATEGORIA"/>
    <tableColumn id="3" xr3:uid="{60C3A624-D089-4120-8F0A-7D8DB2E9C41C}" name="VALOR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DAEF3E2-F881-4EF7-A539-2648CA4469A9}" name="Tabela6" displayName="Tabela6" ref="A1:G21" totalsRowShown="0">
  <autoFilter ref="A1:G21" xr:uid="{6DAEF3E2-F881-4EF7-A539-2648CA4469A9}"/>
  <tableColumns count="7">
    <tableColumn id="1" xr3:uid="{538202DC-E51F-4980-BACF-C7A0C624E7A0}" name="DATA" dataDxfId="0"/>
    <tableColumn id="2" xr3:uid="{8453CC48-B75A-41E5-9A60-0B304AE8673E}" name="PRODUTO"/>
    <tableColumn id="3" xr3:uid="{9E18C66E-9C24-4204-B945-6199EAAAA273}" name="CATEGORIA"/>
    <tableColumn id="4" xr3:uid="{106D922F-8695-47F2-95CC-11EFBD028075}" name="VENDEDOR"/>
    <tableColumn id="5" xr3:uid="{2DE65FB7-1050-414C-831C-3ED4A1240D99}" name="QUANTIDADE"/>
    <tableColumn id="6" xr3:uid="{97B5CB38-D360-4D02-BED5-7DE07CCC329E}" name="VALOR UNITARIO"/>
    <tableColumn id="7" xr3:uid="{CA44EA29-147F-4014-94D2-0ED32C2C07CC}" name="VALOR TOTAL">
      <calculatedColumnFormula>E2*F2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EB50EF0-4E47-473B-AD30-4FF73C464782}" name="Tabela8" displayName="Tabela8" ref="J1:K8" totalsRowShown="0">
  <autoFilter ref="J1:K8" xr:uid="{9EB50EF0-4E47-473B-AD30-4FF73C464782}"/>
  <tableColumns count="2">
    <tableColumn id="1" xr3:uid="{7A06EAF5-044C-4D80-8595-05E04446E09B}" name="INFORMAÇÕES DE VENDAS"/>
    <tableColumn id="2" xr3:uid="{336329FB-899C-4185-ABB8-6DC3F29AB8E3}" name="VALORES: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3"/>
  <sheetViews>
    <sheetView workbookViewId="0">
      <pane ySplit="1" topLeftCell="A2" activePane="bottomLeft" state="frozen"/>
      <selection pane="bottomLeft" activeCell="K73" sqref="K73"/>
    </sheetView>
  </sheetViews>
  <sheetFormatPr defaultRowHeight="15"/>
  <cols>
    <col min="1" max="1" width="11.140625" bestFit="1" customWidth="1"/>
    <col min="2" max="2" width="13.28515625" bestFit="1" customWidth="1"/>
    <col min="3" max="3" width="12.140625" bestFit="1" customWidth="1"/>
    <col min="4" max="4" width="30.28515625" bestFit="1" customWidth="1"/>
    <col min="5" max="5" width="10.42578125" bestFit="1" customWidth="1"/>
    <col min="6" max="6" width="15.42578125" bestFit="1" customWidth="1"/>
    <col min="7" max="7" width="19.140625" bestFit="1" customWidth="1"/>
    <col min="9" max="9" width="30.5703125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s="1">
        <v>46145</v>
      </c>
      <c r="B2" t="s">
        <v>9</v>
      </c>
      <c r="C2" t="s">
        <v>10</v>
      </c>
      <c r="D2" t="s">
        <v>11</v>
      </c>
      <c r="E2" t="s">
        <v>12</v>
      </c>
      <c r="F2">
        <v>1</v>
      </c>
      <c r="G2">
        <v>120</v>
      </c>
      <c r="H2">
        <f>F2*G2</f>
        <v>120</v>
      </c>
      <c r="I2">
        <f>IF(H2&gt;=100,H2 * 0.2, H2)</f>
        <v>24</v>
      </c>
    </row>
    <row r="3" spans="1:9">
      <c r="A3" s="1">
        <v>46143</v>
      </c>
      <c r="B3" t="s">
        <v>13</v>
      </c>
      <c r="C3" t="s">
        <v>14</v>
      </c>
      <c r="D3" t="s">
        <v>11</v>
      </c>
      <c r="E3" t="s">
        <v>15</v>
      </c>
      <c r="F3">
        <v>2</v>
      </c>
      <c r="G3">
        <v>50</v>
      </c>
      <c r="H3">
        <f>F3*G3</f>
        <v>100</v>
      </c>
      <c r="I3">
        <f t="shared" ref="I3:I66" si="0">IF(H3&gt;=100,H3 * 0.2, H3)</f>
        <v>20</v>
      </c>
    </row>
    <row r="4" spans="1:9">
      <c r="H4">
        <f>F4*G4</f>
        <v>0</v>
      </c>
      <c r="I4">
        <f t="shared" si="0"/>
        <v>0</v>
      </c>
    </row>
    <row r="5" spans="1:9">
      <c r="H5">
        <f>F5*G5</f>
        <v>0</v>
      </c>
      <c r="I5">
        <f t="shared" si="0"/>
        <v>0</v>
      </c>
    </row>
    <row r="6" spans="1:9">
      <c r="E6" t="s">
        <v>16</v>
      </c>
      <c r="H6">
        <f>F6*G6</f>
        <v>0</v>
      </c>
      <c r="I6">
        <f t="shared" si="0"/>
        <v>0</v>
      </c>
    </row>
    <row r="7" spans="1:9">
      <c r="H7">
        <f>F7*G7</f>
        <v>0</v>
      </c>
      <c r="I7">
        <f t="shared" si="0"/>
        <v>0</v>
      </c>
    </row>
    <row r="8" spans="1:9">
      <c r="H8">
        <f>F8*G8</f>
        <v>0</v>
      </c>
      <c r="I8">
        <f t="shared" si="0"/>
        <v>0</v>
      </c>
    </row>
    <row r="9" spans="1:9">
      <c r="H9">
        <f>F9*G9</f>
        <v>0</v>
      </c>
      <c r="I9">
        <f t="shared" si="0"/>
        <v>0</v>
      </c>
    </row>
    <row r="10" spans="1:9">
      <c r="H10">
        <f>F10*G10</f>
        <v>0</v>
      </c>
      <c r="I10">
        <f t="shared" si="0"/>
        <v>0</v>
      </c>
    </row>
    <row r="11" spans="1:9">
      <c r="H11">
        <f>F11*G11</f>
        <v>0</v>
      </c>
      <c r="I11">
        <f t="shared" si="0"/>
        <v>0</v>
      </c>
    </row>
    <row r="12" spans="1:9">
      <c r="H12">
        <f>F12*G12</f>
        <v>0</v>
      </c>
      <c r="I12">
        <f t="shared" si="0"/>
        <v>0</v>
      </c>
    </row>
    <row r="13" spans="1:9">
      <c r="H13">
        <f>F13*G13</f>
        <v>0</v>
      </c>
      <c r="I13">
        <f t="shared" si="0"/>
        <v>0</v>
      </c>
    </row>
    <row r="14" spans="1:9">
      <c r="H14">
        <f>F14*G14</f>
        <v>0</v>
      </c>
      <c r="I14">
        <f t="shared" si="0"/>
        <v>0</v>
      </c>
    </row>
    <row r="15" spans="1:9">
      <c r="H15">
        <f>F15*G15</f>
        <v>0</v>
      </c>
      <c r="I15">
        <f t="shared" si="0"/>
        <v>0</v>
      </c>
    </row>
    <row r="16" spans="1:9">
      <c r="H16">
        <f>F16*G16</f>
        <v>0</v>
      </c>
      <c r="I16">
        <f t="shared" si="0"/>
        <v>0</v>
      </c>
    </row>
    <row r="17" spans="8:9">
      <c r="H17">
        <f>F17*G17</f>
        <v>0</v>
      </c>
      <c r="I17">
        <f t="shared" si="0"/>
        <v>0</v>
      </c>
    </row>
    <row r="18" spans="8:9">
      <c r="H18">
        <f>F18*G18</f>
        <v>0</v>
      </c>
      <c r="I18">
        <f t="shared" si="0"/>
        <v>0</v>
      </c>
    </row>
    <row r="19" spans="8:9">
      <c r="H19">
        <f>F19*G19</f>
        <v>0</v>
      </c>
      <c r="I19">
        <f t="shared" si="0"/>
        <v>0</v>
      </c>
    </row>
    <row r="20" spans="8:9">
      <c r="H20">
        <f>F20*G20</f>
        <v>0</v>
      </c>
      <c r="I20">
        <f t="shared" si="0"/>
        <v>0</v>
      </c>
    </row>
    <row r="21" spans="8:9">
      <c r="H21">
        <f>F21*G21</f>
        <v>0</v>
      </c>
      <c r="I21">
        <f t="shared" si="0"/>
        <v>0</v>
      </c>
    </row>
    <row r="22" spans="8:9">
      <c r="H22">
        <f>F22*G22</f>
        <v>0</v>
      </c>
      <c r="I22">
        <f t="shared" si="0"/>
        <v>0</v>
      </c>
    </row>
    <row r="23" spans="8:9">
      <c r="H23">
        <f>F23*G23</f>
        <v>0</v>
      </c>
      <c r="I23">
        <f t="shared" si="0"/>
        <v>0</v>
      </c>
    </row>
    <row r="24" spans="8:9">
      <c r="H24">
        <f>F24*G24</f>
        <v>0</v>
      </c>
      <c r="I24">
        <f t="shared" si="0"/>
        <v>0</v>
      </c>
    </row>
    <row r="25" spans="8:9">
      <c r="H25">
        <f>F25*G25</f>
        <v>0</v>
      </c>
      <c r="I25">
        <f t="shared" si="0"/>
        <v>0</v>
      </c>
    </row>
    <row r="26" spans="8:9">
      <c r="H26">
        <f>F26*G26</f>
        <v>0</v>
      </c>
      <c r="I26">
        <f t="shared" si="0"/>
        <v>0</v>
      </c>
    </row>
    <row r="27" spans="8:9">
      <c r="H27">
        <f>F27*G27</f>
        <v>0</v>
      </c>
      <c r="I27">
        <f t="shared" si="0"/>
        <v>0</v>
      </c>
    </row>
    <row r="28" spans="8:9">
      <c r="H28">
        <f>F28*G28</f>
        <v>0</v>
      </c>
      <c r="I28">
        <f t="shared" si="0"/>
        <v>0</v>
      </c>
    </row>
    <row r="29" spans="8:9">
      <c r="H29">
        <f>F29*G29</f>
        <v>0</v>
      </c>
      <c r="I29">
        <f t="shared" si="0"/>
        <v>0</v>
      </c>
    </row>
    <row r="30" spans="8:9">
      <c r="H30">
        <f>F30*G30</f>
        <v>0</v>
      </c>
      <c r="I30">
        <f t="shared" si="0"/>
        <v>0</v>
      </c>
    </row>
    <row r="31" spans="8:9">
      <c r="H31">
        <f>F31*G31</f>
        <v>0</v>
      </c>
      <c r="I31">
        <f t="shared" si="0"/>
        <v>0</v>
      </c>
    </row>
    <row r="32" spans="8:9">
      <c r="H32">
        <f>F32*G32</f>
        <v>0</v>
      </c>
      <c r="I32">
        <f t="shared" si="0"/>
        <v>0</v>
      </c>
    </row>
    <row r="33" spans="8:9">
      <c r="H33">
        <f>F33*G33</f>
        <v>0</v>
      </c>
      <c r="I33">
        <f t="shared" si="0"/>
        <v>0</v>
      </c>
    </row>
    <row r="34" spans="8:9">
      <c r="H34">
        <f>F34*G34</f>
        <v>0</v>
      </c>
      <c r="I34">
        <f t="shared" si="0"/>
        <v>0</v>
      </c>
    </row>
    <row r="35" spans="8:9">
      <c r="H35">
        <f>F35*G35</f>
        <v>0</v>
      </c>
      <c r="I35">
        <f t="shared" si="0"/>
        <v>0</v>
      </c>
    </row>
    <row r="36" spans="8:9">
      <c r="H36">
        <f>F36*G36</f>
        <v>0</v>
      </c>
      <c r="I36">
        <f t="shared" si="0"/>
        <v>0</v>
      </c>
    </row>
    <row r="37" spans="8:9">
      <c r="H37">
        <f>F37*G37</f>
        <v>0</v>
      </c>
      <c r="I37">
        <f t="shared" si="0"/>
        <v>0</v>
      </c>
    </row>
    <row r="38" spans="8:9">
      <c r="H38">
        <f>F38*G38</f>
        <v>0</v>
      </c>
      <c r="I38">
        <f t="shared" si="0"/>
        <v>0</v>
      </c>
    </row>
    <row r="39" spans="8:9">
      <c r="H39">
        <f>F39*G39</f>
        <v>0</v>
      </c>
      <c r="I39">
        <f t="shared" si="0"/>
        <v>0</v>
      </c>
    </row>
    <row r="40" spans="8:9">
      <c r="H40">
        <f>F40*G40</f>
        <v>0</v>
      </c>
      <c r="I40">
        <f t="shared" si="0"/>
        <v>0</v>
      </c>
    </row>
    <row r="41" spans="8:9">
      <c r="H41">
        <f>F41*G41</f>
        <v>0</v>
      </c>
      <c r="I41">
        <f t="shared" si="0"/>
        <v>0</v>
      </c>
    </row>
    <row r="42" spans="8:9">
      <c r="H42">
        <f>F42*G42</f>
        <v>0</v>
      </c>
      <c r="I42">
        <f t="shared" si="0"/>
        <v>0</v>
      </c>
    </row>
    <row r="43" spans="8:9">
      <c r="H43">
        <f>F43*G43</f>
        <v>0</v>
      </c>
      <c r="I43">
        <f t="shared" si="0"/>
        <v>0</v>
      </c>
    </row>
    <row r="44" spans="8:9">
      <c r="H44">
        <f>F44*G44</f>
        <v>0</v>
      </c>
      <c r="I44">
        <f t="shared" si="0"/>
        <v>0</v>
      </c>
    </row>
    <row r="45" spans="8:9">
      <c r="H45">
        <f>F45*G45</f>
        <v>0</v>
      </c>
      <c r="I45">
        <f t="shared" si="0"/>
        <v>0</v>
      </c>
    </row>
    <row r="46" spans="8:9">
      <c r="H46">
        <f>F46*G46</f>
        <v>0</v>
      </c>
      <c r="I46">
        <f t="shared" si="0"/>
        <v>0</v>
      </c>
    </row>
    <row r="47" spans="8:9">
      <c r="H47">
        <f>F47*G47</f>
        <v>0</v>
      </c>
      <c r="I47">
        <f t="shared" si="0"/>
        <v>0</v>
      </c>
    </row>
    <row r="48" spans="8:9">
      <c r="H48">
        <f>F48*G48</f>
        <v>0</v>
      </c>
      <c r="I48">
        <f t="shared" si="0"/>
        <v>0</v>
      </c>
    </row>
    <row r="49" spans="8:9">
      <c r="H49">
        <f>F49*G49</f>
        <v>0</v>
      </c>
      <c r="I49">
        <f t="shared" si="0"/>
        <v>0</v>
      </c>
    </row>
    <row r="50" spans="8:9">
      <c r="H50">
        <f>F50*G50</f>
        <v>0</v>
      </c>
      <c r="I50">
        <f t="shared" si="0"/>
        <v>0</v>
      </c>
    </row>
    <row r="51" spans="8:9">
      <c r="H51">
        <f>F51*G51</f>
        <v>0</v>
      </c>
      <c r="I51">
        <f t="shared" si="0"/>
        <v>0</v>
      </c>
    </row>
    <row r="52" spans="8:9">
      <c r="H52">
        <f>F52*G52</f>
        <v>0</v>
      </c>
      <c r="I52">
        <f t="shared" si="0"/>
        <v>0</v>
      </c>
    </row>
    <row r="53" spans="8:9">
      <c r="H53">
        <f>F53*G53</f>
        <v>0</v>
      </c>
      <c r="I53">
        <f t="shared" si="0"/>
        <v>0</v>
      </c>
    </row>
    <row r="54" spans="8:9">
      <c r="H54">
        <f>F54*G54</f>
        <v>0</v>
      </c>
      <c r="I54">
        <f t="shared" si="0"/>
        <v>0</v>
      </c>
    </row>
    <row r="55" spans="8:9">
      <c r="H55">
        <f>F55*G55</f>
        <v>0</v>
      </c>
      <c r="I55">
        <f t="shared" si="0"/>
        <v>0</v>
      </c>
    </row>
    <row r="56" spans="8:9">
      <c r="H56">
        <f>F56*G56</f>
        <v>0</v>
      </c>
      <c r="I56">
        <f t="shared" si="0"/>
        <v>0</v>
      </c>
    </row>
    <row r="57" spans="8:9">
      <c r="H57">
        <f>F57*G57</f>
        <v>0</v>
      </c>
      <c r="I57">
        <f t="shared" si="0"/>
        <v>0</v>
      </c>
    </row>
    <row r="58" spans="8:9">
      <c r="H58">
        <f>F58*G58</f>
        <v>0</v>
      </c>
      <c r="I58">
        <f t="shared" si="0"/>
        <v>0</v>
      </c>
    </row>
    <row r="59" spans="8:9">
      <c r="H59">
        <f>F59*G59</f>
        <v>0</v>
      </c>
      <c r="I59">
        <f t="shared" si="0"/>
        <v>0</v>
      </c>
    </row>
    <row r="60" spans="8:9">
      <c r="H60">
        <f>F60*G60</f>
        <v>0</v>
      </c>
      <c r="I60">
        <f t="shared" si="0"/>
        <v>0</v>
      </c>
    </row>
    <row r="61" spans="8:9">
      <c r="H61">
        <f>F61*G61</f>
        <v>0</v>
      </c>
      <c r="I61">
        <f t="shared" si="0"/>
        <v>0</v>
      </c>
    </row>
    <row r="62" spans="8:9">
      <c r="H62">
        <f>F62*G62</f>
        <v>0</v>
      </c>
      <c r="I62">
        <f t="shared" si="0"/>
        <v>0</v>
      </c>
    </row>
    <row r="63" spans="8:9">
      <c r="H63">
        <f t="shared" ref="H63:H83" si="1">F63*G63</f>
        <v>0</v>
      </c>
      <c r="I63">
        <f t="shared" si="0"/>
        <v>0</v>
      </c>
    </row>
    <row r="64" spans="8:9">
      <c r="H64">
        <f t="shared" si="1"/>
        <v>0</v>
      </c>
      <c r="I64">
        <f t="shared" si="0"/>
        <v>0</v>
      </c>
    </row>
    <row r="65" spans="8:9">
      <c r="H65">
        <f t="shared" si="1"/>
        <v>0</v>
      </c>
      <c r="I65">
        <f t="shared" si="0"/>
        <v>0</v>
      </c>
    </row>
    <row r="66" spans="8:9">
      <c r="H66">
        <f t="shared" si="1"/>
        <v>0</v>
      </c>
      <c r="I66">
        <f t="shared" si="0"/>
        <v>0</v>
      </c>
    </row>
    <row r="67" spans="8:9">
      <c r="H67">
        <f t="shared" si="1"/>
        <v>0</v>
      </c>
      <c r="I67">
        <f t="shared" ref="I67:I83" si="2">IF(H67&gt;=100,H67 * 0.2, H67)</f>
        <v>0</v>
      </c>
    </row>
    <row r="68" spans="8:9">
      <c r="H68">
        <f t="shared" si="1"/>
        <v>0</v>
      </c>
      <c r="I68">
        <f t="shared" si="2"/>
        <v>0</v>
      </c>
    </row>
    <row r="69" spans="8:9">
      <c r="H69">
        <f t="shared" si="1"/>
        <v>0</v>
      </c>
      <c r="I69">
        <f t="shared" si="2"/>
        <v>0</v>
      </c>
    </row>
    <row r="70" spans="8:9">
      <c r="H70">
        <f t="shared" si="1"/>
        <v>0</v>
      </c>
      <c r="I70">
        <f t="shared" si="2"/>
        <v>0</v>
      </c>
    </row>
    <row r="71" spans="8:9">
      <c r="H71">
        <f t="shared" si="1"/>
        <v>0</v>
      </c>
      <c r="I71">
        <f t="shared" si="2"/>
        <v>0</v>
      </c>
    </row>
    <row r="72" spans="8:9">
      <c r="H72">
        <f t="shared" si="1"/>
        <v>0</v>
      </c>
      <c r="I72">
        <f t="shared" si="2"/>
        <v>0</v>
      </c>
    </row>
    <row r="73" spans="8:9">
      <c r="H73">
        <f t="shared" si="1"/>
        <v>0</v>
      </c>
      <c r="I73">
        <f t="shared" si="2"/>
        <v>0</v>
      </c>
    </row>
    <row r="74" spans="8:9">
      <c r="H74">
        <f t="shared" si="1"/>
        <v>0</v>
      </c>
      <c r="I74">
        <f t="shared" si="2"/>
        <v>0</v>
      </c>
    </row>
    <row r="75" spans="8:9">
      <c r="H75">
        <f t="shared" si="1"/>
        <v>0</v>
      </c>
      <c r="I75">
        <f t="shared" si="2"/>
        <v>0</v>
      </c>
    </row>
    <row r="76" spans="8:9">
      <c r="H76">
        <f t="shared" si="1"/>
        <v>0</v>
      </c>
      <c r="I76">
        <f t="shared" si="2"/>
        <v>0</v>
      </c>
    </row>
    <row r="77" spans="8:9">
      <c r="H77">
        <f t="shared" si="1"/>
        <v>0</v>
      </c>
      <c r="I77">
        <f t="shared" si="2"/>
        <v>0</v>
      </c>
    </row>
    <row r="78" spans="8:9">
      <c r="H78">
        <f t="shared" si="1"/>
        <v>0</v>
      </c>
      <c r="I78">
        <f t="shared" si="2"/>
        <v>0</v>
      </c>
    </row>
    <row r="79" spans="8:9">
      <c r="H79">
        <f t="shared" si="1"/>
        <v>0</v>
      </c>
      <c r="I79">
        <f t="shared" si="2"/>
        <v>0</v>
      </c>
    </row>
    <row r="80" spans="8:9">
      <c r="H80">
        <f t="shared" si="1"/>
        <v>0</v>
      </c>
      <c r="I80">
        <f t="shared" si="2"/>
        <v>0</v>
      </c>
    </row>
    <row r="81" spans="8:9">
      <c r="H81">
        <f t="shared" si="1"/>
        <v>0</v>
      </c>
      <c r="I81">
        <f t="shared" si="2"/>
        <v>0</v>
      </c>
    </row>
    <row r="82" spans="8:9">
      <c r="H82">
        <f t="shared" si="1"/>
        <v>0</v>
      </c>
      <c r="I82">
        <f t="shared" si="2"/>
        <v>0</v>
      </c>
    </row>
    <row r="83" spans="8:9">
      <c r="H83">
        <f t="shared" si="1"/>
        <v>0</v>
      </c>
      <c r="I83">
        <f t="shared" si="2"/>
        <v>0</v>
      </c>
    </row>
  </sheetData>
  <conditionalFormatting sqref="H11">
    <cfRule type="cellIs" dxfId="10" priority="1" operator="greaterThan">
      <formula>500</formula>
    </cfRule>
  </conditionalFormatting>
  <dataValidations count="2">
    <dataValidation type="list" showInputMessage="1" showErrorMessage="1" sqref="D1:D1048576" xr:uid="{09F38656-9388-43B5-85E3-BADC021160C8}">
      <formula1>"INFORMATICA, ESCRITORIO, ACESSORIOS"</formula1>
    </dataValidation>
    <dataValidation type="list" allowBlank="1" showInputMessage="1" showErrorMessage="1" sqref="B1:B1048576" xr:uid="{A37C650D-558E-45AC-BB72-12FF69524816}">
      <formula1>"GUSTAVO, FILIPE, MATHEUS"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9380C-6001-4D2B-8349-A883C270C2DD}">
  <dimension ref="A1:G139"/>
  <sheetViews>
    <sheetView workbookViewId="0">
      <pane ySplit="1" topLeftCell="A2" activePane="bottomLeft" state="frozen"/>
      <selection pane="bottomLeft" activeCell="F1" sqref="F1"/>
    </sheetView>
  </sheetViews>
  <sheetFormatPr defaultRowHeight="15"/>
  <cols>
    <col min="1" max="1" width="16.140625" customWidth="1"/>
    <col min="2" max="2" width="16.85546875" customWidth="1"/>
    <col min="3" max="3" width="18.85546875" customWidth="1"/>
    <col min="4" max="4" width="31.85546875" customWidth="1"/>
    <col min="6" max="6" width="29.5703125" customWidth="1"/>
    <col min="7" max="7" width="12.140625" bestFit="1" customWidth="1"/>
  </cols>
  <sheetData>
    <row r="1" spans="1:7">
      <c r="A1" t="s">
        <v>17</v>
      </c>
      <c r="B1" t="s">
        <v>18</v>
      </c>
      <c r="C1" t="s">
        <v>19</v>
      </c>
      <c r="D1" t="s">
        <v>20</v>
      </c>
      <c r="F1" t="s">
        <v>17</v>
      </c>
      <c r="G1" t="s">
        <v>9</v>
      </c>
    </row>
    <row r="2" spans="1:7" ht="15" customHeight="1">
      <c r="A2" t="s">
        <v>21</v>
      </c>
      <c r="B2">
        <v>5</v>
      </c>
      <c r="C2" s="3">
        <v>75</v>
      </c>
      <c r="D2" s="2" t="str" cm="1">
        <f t="array" ref="D2">IFERROR(_xlfn.IFS(AND(B2&gt;=6,C2&gt;=75),"APROVADO", AND( B2&lt;=5,B2&gt;=4,C2&gt;=65), "RECUPERAÇÃO", AND(B2&lt;=4,C2&lt;=65), "REPROVADO", AND(B2&gt;=6,#REF!&lt;=75), "RECUPERAÇÃO POR FALTA"), "SEM RESULTADO")</f>
        <v>RECUPERAÇÃO</v>
      </c>
      <c r="F2">
        <f>VLOOKUP(G1,A2:D1133,2,FALSE)</f>
        <v>8</v>
      </c>
    </row>
    <row r="3" spans="1:7" ht="18" customHeight="1">
      <c r="A3" t="s">
        <v>13</v>
      </c>
      <c r="B3">
        <v>4</v>
      </c>
      <c r="C3" s="3">
        <v>85</v>
      </c>
      <c r="D3" s="2" t="str" cm="1">
        <f t="array" ref="D3">IFERROR(_xlfn.IFS(AND(B3&gt;=6,C3&gt;=75),"APROVADO", AND( B3&lt;=5,B3&gt;=4,C3&gt;=65), "RECUPERAÇÃO", AND(B3&lt;=4,C3&lt;=65), "REPROVADO", AND(B3&gt;=6,C1&lt;=75), "RECUPERAÇÃO POR FALTA"), "SEM RESULTADO")</f>
        <v>RECUPERAÇÃO</v>
      </c>
      <c r="F3">
        <f>VLOOKUP(G1,A2:D1133,3,FALSE)</f>
        <v>70</v>
      </c>
    </row>
    <row r="4" spans="1:7" ht="17.25" customHeight="1">
      <c r="A4" t="s">
        <v>9</v>
      </c>
      <c r="B4">
        <v>8</v>
      </c>
      <c r="C4" s="3">
        <v>70</v>
      </c>
      <c r="D4" s="2" t="str" cm="1">
        <f t="array" ref="D4">IFERROR(_xlfn.IFS(AND(B4&gt;=6,C4&gt;=75),"APROVADO", AND( B4&lt;=5,B4&gt;=4,C4&gt;=65), "RECUPERAÇÃO", AND(B4&lt;=4,C4&lt;=65), "REPROVADO", AND(B4&gt;=6,C2&lt;=75), "RECUPERAÇÃO POR FALTA"), "SEM RESULTADO")</f>
        <v>RECUPERAÇÃO POR FALTA</v>
      </c>
      <c r="F4" t="str">
        <f>VLOOKUP(G1,A2:D1133,4,FALSE)</f>
        <v>RECUPERAÇÃO POR FALTA</v>
      </c>
    </row>
    <row r="5" spans="1:7" ht="16.5" customHeight="1">
      <c r="A5" t="s">
        <v>22</v>
      </c>
      <c r="B5">
        <v>7</v>
      </c>
      <c r="C5" s="3">
        <v>80</v>
      </c>
      <c r="D5" s="2" t="str" cm="1">
        <f t="array" ref="D5">IFERROR(_xlfn.IFS(AND(B5&gt;=6,C5&gt;=75),"APROVADO", AND( B5&lt;=5,B5&gt;=4,C5&gt;=65), "RECUPERAÇÃO", AND(B5&lt;=4,C5&lt;=65), "REPROVADO", AND(B5&gt;=6,C3&lt;=75), "RECUPERAÇÃO POR FALTA"), "SEM RESULTADO")</f>
        <v>APROVADO</v>
      </c>
    </row>
    <row r="6" spans="1:7" ht="16.5" customHeight="1">
      <c r="A6" t="s">
        <v>23</v>
      </c>
      <c r="B6">
        <v>8</v>
      </c>
      <c r="C6" s="3">
        <v>75</v>
      </c>
      <c r="D6" s="2" t="str" cm="1">
        <f t="array" ref="D6">IFERROR(_xlfn.IFS(AND(B6&gt;=6,C6&gt;=75),"APROVADO", AND( B6&lt;=5,B6&gt;=4,C6&gt;=65), "RECUPERAÇÃO", AND(B6&lt;=4,C6&lt;=65), "REPROVADO", AND(B6&gt;=6,C4&lt;=75), "RECUPERAÇÃO POR FALTA"), "SEM RESULTADO")</f>
        <v>APROVADO</v>
      </c>
    </row>
    <row r="7" spans="1:7">
      <c r="C7" s="3"/>
      <c r="D7" s="2" t="str" cm="1">
        <f t="array" ref="D7">IFERROR(_xlfn.IFS(AND(B7&gt;=6,C7&gt;=75),"APROVADO", AND( B7&lt;=5,B7&gt;=4,C7&gt;=65), "RECUPERAÇÃO", AND(B7&lt;=4,C7&lt;=65), "REPROVADO", AND(B7&gt;=6,C5&lt;=75), "RECUPERAÇÃO POR FALTA"), "SEM RESULTADO")</f>
        <v>REPROVADO</v>
      </c>
    </row>
    <row r="8" spans="1:7">
      <c r="C8" s="3"/>
      <c r="D8" s="2" t="str" cm="1">
        <f t="array" ref="D8">IFERROR(_xlfn.IFS(AND(B8&gt;=6,C8&gt;=75),"APROVADO", AND( B8&lt;=5,B8&gt;=4,C8&gt;=65), "RECUPERAÇÃO", AND(B8&lt;=4,C8&lt;=65), "REPROVADO", AND(B8&gt;=6,C6&lt;=75), "RECUPERAÇÃO POR FALTA"), "SEM RESULTADO")</f>
        <v>REPROVADO</v>
      </c>
    </row>
    <row r="9" spans="1:7">
      <c r="C9" s="3"/>
      <c r="D9" s="2" t="str" cm="1">
        <f t="array" ref="D9">IFERROR(_xlfn.IFS(AND(B9&gt;=6,C9&gt;=75),"APROVADO", AND( B9&lt;=5,B9&gt;=4,C9&gt;=65), "RECUPERAÇÃO", AND(B9&lt;=4,C9&lt;=65), "REPROVADO", AND(B9&gt;=6,C7&lt;=75), "RECUPERAÇÃO POR FALTA"), "SEM RESULTADO")</f>
        <v>REPROVADO</v>
      </c>
    </row>
    <row r="10" spans="1:7">
      <c r="C10" s="3"/>
      <c r="D10" s="2" t="str" cm="1">
        <f t="array" ref="D10">IFERROR(_xlfn.IFS(AND(B10&gt;=6,C10&gt;=75),"APROVADO", AND( B10&lt;=5,B10&gt;=4,C10&gt;=65), "RECUPERAÇÃO", AND(B10&lt;=4,C10&lt;=65), "REPROVADO", AND(B10&gt;=6,C8&lt;=75), "RECUPERAÇÃO POR FALTA"), "SEM RESULTADO")</f>
        <v>REPROVADO</v>
      </c>
    </row>
    <row r="11" spans="1:7">
      <c r="C11" s="3"/>
      <c r="D11" s="2" t="str" cm="1">
        <f t="array" ref="D11">IFERROR(_xlfn.IFS(AND(B11&gt;=6,C11&gt;=75),"APROVADO", AND( B11&lt;=5,B11&gt;=4,C11&gt;=65), "RECUPERAÇÃO", AND(B11&lt;=4,C11&lt;=65), "REPROVADO", AND(B11&gt;=6,C9&lt;=75), "RECUPERAÇÃO POR FALTA"), "SEM RESULTADO")</f>
        <v>REPROVADO</v>
      </c>
    </row>
    <row r="12" spans="1:7">
      <c r="C12" s="3"/>
      <c r="D12" s="2" t="str" cm="1">
        <f t="array" ref="D12">IFERROR(_xlfn.IFS(AND(B12&gt;=6,C12&gt;=75),"APROVADO", AND( B12&lt;=5,B12&gt;=4,C12&gt;=65), "RECUPERAÇÃO", AND(B12&lt;=4,C12&lt;=65), "REPROVADO", AND(B12&gt;=6,C10&lt;=75), "RECUPERAÇÃO POR FALTA"), "SEM RESULTADO")</f>
        <v>REPROVADO</v>
      </c>
    </row>
    <row r="13" spans="1:7">
      <c r="C13" s="3"/>
      <c r="D13" s="2" t="str" cm="1">
        <f t="array" ref="D13">IFERROR(_xlfn.IFS(AND(B13&gt;=6,C13&gt;=75),"APROVADO", AND( B13&lt;=5,B13&gt;=4,C13&gt;=65), "RECUPERAÇÃO", AND(B13&lt;=4,C13&lt;=65), "REPROVADO", AND(B13&gt;=6,C11&lt;=75), "RECUPERAÇÃO POR FALTA"), "SEM RESULTADO")</f>
        <v>REPROVADO</v>
      </c>
    </row>
    <row r="14" spans="1:7">
      <c r="C14" s="3"/>
      <c r="D14" s="2" t="str" cm="1">
        <f t="array" ref="D14">IFERROR(_xlfn.IFS(AND(B14&gt;=6,C14&gt;=75),"APROVADO", AND( B14&lt;=5,B14&gt;=4,C14&gt;=65), "RECUPERAÇÃO", AND(B14&lt;=4,C14&lt;=65), "REPROVADO", AND(B14&gt;=6,C12&lt;=75), "RECUPERAÇÃO POR FALTA"), "SEM RESULTADO")</f>
        <v>REPROVADO</v>
      </c>
    </row>
    <row r="15" spans="1:7">
      <c r="C15" s="3"/>
      <c r="D15" s="2" t="str" cm="1">
        <f t="array" ref="D15">IFERROR(_xlfn.IFS(AND(B15&gt;=6,C15&gt;=75),"APROVADO", AND( B15&lt;=5,B15&gt;=4,C15&gt;=65), "RECUPERAÇÃO", AND(B15&lt;=4,C15&lt;=65), "REPROVADO", AND(B15&gt;=6,C13&lt;=75), "RECUPERAÇÃO POR FALTA"), "SEM RESULTADO")</f>
        <v>REPROVADO</v>
      </c>
    </row>
    <row r="16" spans="1:7">
      <c r="C16" s="3"/>
      <c r="D16" s="2" t="str" cm="1">
        <f t="array" ref="D16">IFERROR(_xlfn.IFS(AND(B16&gt;=6,C16&gt;=75),"APROVADO", AND( B16&lt;=5,B16&gt;=4,C16&gt;=65), "RECUPERAÇÃO", AND(B16&lt;=4,C16&lt;=65), "REPROVADO", AND(B16&gt;=6,C14&lt;=75), "RECUPERAÇÃO POR FALTA"), "SEM RESULTADO")</f>
        <v>REPROVADO</v>
      </c>
    </row>
    <row r="17" spans="3:4">
      <c r="C17" s="3"/>
      <c r="D17" s="2" t="str" cm="1">
        <f t="array" ref="D17">IFERROR(_xlfn.IFS(AND(B17&gt;=6,C17&gt;=75),"APROVADO", AND( B17&lt;=5,B17&gt;=4,C17&gt;=65), "RECUPERAÇÃO", AND(B17&lt;=4,C17&lt;=65), "REPROVADO", AND(B17&gt;=6,C15&lt;=75), "RECUPERAÇÃO POR FALTA"), "SEM RESULTADO")</f>
        <v>REPROVADO</v>
      </c>
    </row>
    <row r="18" spans="3:4">
      <c r="C18" s="3"/>
      <c r="D18" s="2" t="str" cm="1">
        <f t="array" ref="D18">IFERROR(_xlfn.IFS(AND(B18&gt;=6,C18&gt;=75),"APROVADO", AND( B18&lt;=5,B18&gt;=4,C18&gt;=65), "RECUPERAÇÃO", AND(B18&lt;=4,C18&lt;=65), "REPROVADO", AND(B18&gt;=6,C16&lt;=75), "RECUPERAÇÃO POR FALTA"), "SEM RESULTADO")</f>
        <v>REPROVADO</v>
      </c>
    </row>
    <row r="19" spans="3:4">
      <c r="C19" s="3"/>
      <c r="D19" s="2" t="str" cm="1">
        <f t="array" ref="D19">IFERROR(_xlfn.IFS(AND(B19&gt;=6,C19&gt;=75),"APROVADO", AND( B19&lt;=5,B19&gt;=4,C19&gt;=65), "RECUPERAÇÃO", AND(B19&lt;=4,C19&lt;=65), "REPROVADO", AND(B19&gt;=6,C17&lt;=75), "RECUPERAÇÃO POR FALTA"), "SEM RESULTADO")</f>
        <v>REPROVADO</v>
      </c>
    </row>
    <row r="20" spans="3:4">
      <c r="C20" s="3"/>
      <c r="D20" s="2" t="str" cm="1">
        <f t="array" ref="D20">IFERROR(_xlfn.IFS(AND(B20&gt;=6,C20&gt;=75),"APROVADO", AND( B20&lt;=5,B20&gt;=4,C20&gt;=65), "RECUPERAÇÃO", AND(B20&lt;=4,C20&lt;=65), "REPROVADO", AND(B20&gt;=6,C18&lt;=75), "RECUPERAÇÃO POR FALTA"), "SEM RESULTADO")</f>
        <v>REPROVADO</v>
      </c>
    </row>
    <row r="21" spans="3:4">
      <c r="C21" s="3"/>
      <c r="D21" s="2" t="str" cm="1">
        <f t="array" ref="D21">IFERROR(_xlfn.IFS(AND(B21&gt;=6,C21&gt;=75),"APROVADO", AND( B21&lt;=5,B21&gt;=4,C21&gt;=65), "RECUPERAÇÃO", AND(B21&lt;=4,C21&lt;=65), "REPROVADO", AND(B21&gt;=6,C19&lt;=75), "RECUPERAÇÃO POR FALTA"), "SEM RESULTADO")</f>
        <v>REPROVADO</v>
      </c>
    </row>
    <row r="22" spans="3:4">
      <c r="C22" s="3"/>
      <c r="D22" s="2" t="str" cm="1">
        <f t="array" ref="D22">IFERROR(_xlfn.IFS(AND(B22&gt;=6,C22&gt;=75),"APROVADO", AND( B22&lt;=5,B22&gt;=4,C22&gt;=65), "RECUPERAÇÃO", AND(B22&lt;=4,C22&lt;=65), "REPROVADO", AND(B22&gt;=6,C20&lt;=75), "RECUPERAÇÃO POR FALTA"), "SEM RESULTADO")</f>
        <v>REPROVADO</v>
      </c>
    </row>
    <row r="23" spans="3:4">
      <c r="C23" s="3"/>
      <c r="D23" s="2" t="str" cm="1">
        <f t="array" ref="D23">IFERROR(_xlfn.IFS(AND(B23&gt;=6,C23&gt;=75),"APROVADO", AND( B23&lt;=5,B23&gt;=4,C23&gt;=65), "RECUPERAÇÃO", AND(B23&lt;=4,C23&lt;=65), "REPROVADO", AND(B23&gt;=6,C21&lt;=75), "RECUPERAÇÃO POR FALTA"), "SEM RESULTADO")</f>
        <v>REPROVADO</v>
      </c>
    </row>
    <row r="24" spans="3:4">
      <c r="C24" s="3"/>
      <c r="D24" s="2" t="str" cm="1">
        <f t="array" ref="D24">IFERROR(_xlfn.IFS(AND(B24&gt;=6,C24&gt;=75),"APROVADO", AND( B24&lt;=5,B24&gt;=4,C24&gt;=65), "RECUPERAÇÃO", AND(B24&lt;=4,C24&lt;=65), "REPROVADO", AND(B24&gt;=6,C22&lt;=75), "RECUPERAÇÃO POR FALTA"), "SEM RESULTADO")</f>
        <v>REPROVADO</v>
      </c>
    </row>
    <row r="25" spans="3:4">
      <c r="C25" s="3"/>
      <c r="D25" s="2" t="str" cm="1">
        <f t="array" ref="D25">IFERROR(_xlfn.IFS(AND(B25&gt;=6,C25&gt;=75),"APROVADO", AND( B25&lt;=5,B25&gt;=4,C25&gt;=65), "RECUPERAÇÃO", AND(B25&lt;=4,C25&lt;=65), "REPROVADO", AND(B25&gt;=6,C23&lt;=75), "RECUPERAÇÃO POR FALTA"), "SEM RESULTADO")</f>
        <v>REPROVADO</v>
      </c>
    </row>
    <row r="26" spans="3:4">
      <c r="C26" s="3"/>
      <c r="D26" s="2" t="str" cm="1">
        <f t="array" ref="D26">IFERROR(_xlfn.IFS(AND(B26&gt;=6,C26&gt;=75),"APROVADO", AND( B26&lt;=5,B26&gt;=4,C26&gt;=65), "RECUPERAÇÃO", AND(B26&lt;=4,C26&lt;=65), "REPROVADO", AND(B26&gt;=6,C24&lt;=75), "RECUPERAÇÃO POR FALTA"), "SEM RESULTADO")</f>
        <v>REPROVADO</v>
      </c>
    </row>
    <row r="27" spans="3:4">
      <c r="C27" s="3"/>
      <c r="D27" s="2" t="str" cm="1">
        <f t="array" ref="D27">IFERROR(_xlfn.IFS(AND(B27&gt;=6,C27&gt;=75),"APROVADO", AND( B27&lt;=5,B27&gt;=4,C27&gt;=65), "RECUPERAÇÃO", AND(B27&lt;=4,C27&lt;=65), "REPROVADO", AND(B27&gt;=6,C25&lt;=75), "RECUPERAÇÃO POR FALTA"), "SEM RESULTADO")</f>
        <v>REPROVADO</v>
      </c>
    </row>
    <row r="28" spans="3:4">
      <c r="C28" s="3"/>
      <c r="D28" s="2" t="str" cm="1">
        <f t="array" ref="D28">IFERROR(_xlfn.IFS(AND(B28&gt;=6,C28&gt;=75),"APROVADO", AND( B28&lt;=5,B28&gt;=4,C28&gt;=65), "RECUPERAÇÃO", AND(B28&lt;=4,C28&lt;=65), "REPROVADO", AND(B28&gt;=6,C26&lt;=75), "RECUPERAÇÃO POR FALTA"), "SEM RESULTADO")</f>
        <v>REPROVADO</v>
      </c>
    </row>
    <row r="29" spans="3:4">
      <c r="C29" s="3"/>
      <c r="D29" s="2" t="str" cm="1">
        <f t="array" ref="D29">IFERROR(_xlfn.IFS(AND(B29&gt;=6,C29&gt;=75),"APROVADO", AND( B29&lt;=5,B29&gt;=4,C29&gt;=65), "RECUPERAÇÃO", AND(B29&lt;=4,C29&lt;=65), "REPROVADO", AND(B29&gt;=6,C27&lt;=75), "RECUPERAÇÃO POR FALTA"), "SEM RESULTADO")</f>
        <v>REPROVADO</v>
      </c>
    </row>
    <row r="30" spans="3:4">
      <c r="C30" s="3"/>
      <c r="D30" s="2" t="str" cm="1">
        <f t="array" ref="D30">IFERROR(_xlfn.IFS(AND(B30&gt;=6,C30&gt;=75),"APROVADO", AND( B30&lt;=5,B30&gt;=4,C30&gt;=65), "RECUPERAÇÃO", AND(B30&lt;=4,C30&lt;=65), "REPROVADO", AND(B30&gt;=6,C28&lt;=75), "RECUPERAÇÃO POR FALTA"), "SEM RESULTADO")</f>
        <v>REPROVADO</v>
      </c>
    </row>
    <row r="31" spans="3:4">
      <c r="C31" s="3"/>
      <c r="D31" s="2" t="str" cm="1">
        <f t="array" ref="D31">IFERROR(_xlfn.IFS(AND(B31&gt;=6,C31&gt;=75),"APROVADO", AND( B31&lt;=5,B31&gt;=4,C31&gt;=65), "RECUPERAÇÃO", AND(B31&lt;=4,C31&lt;=65), "REPROVADO", AND(B31&gt;=6,C29&lt;=75), "RECUPERAÇÃO POR FALTA"), "SEM RESULTADO")</f>
        <v>REPROVADO</v>
      </c>
    </row>
    <row r="32" spans="3:4">
      <c r="C32" s="3"/>
      <c r="D32" s="2" t="str" cm="1">
        <f t="array" ref="D32">IFERROR(_xlfn.IFS(AND(B32&gt;=6,C32&gt;=75),"APROVADO", AND( B32&lt;=5,B32&gt;=4,C32&gt;=65), "RECUPERAÇÃO", AND(B32&lt;=4,C32&lt;=65), "REPROVADO", AND(B32&gt;=6,C30&lt;=75), "RECUPERAÇÃO POR FALTA"), "SEM RESULTADO")</f>
        <v>REPROVADO</v>
      </c>
    </row>
    <row r="33" spans="3:4">
      <c r="C33" s="3"/>
      <c r="D33" s="2" t="str" cm="1">
        <f t="array" ref="D33">IFERROR(_xlfn.IFS(AND(B33&gt;=6,C33&gt;=75),"APROVADO", AND( B33&lt;=5,B33&gt;=4,C33&gt;=65), "RECUPERAÇÃO", AND(B33&lt;=4,C33&lt;=65), "REPROVADO", AND(B33&gt;=6,C31&lt;=75), "RECUPERAÇÃO POR FALTA"), "SEM RESULTADO")</f>
        <v>REPROVADO</v>
      </c>
    </row>
    <row r="34" spans="3:4">
      <c r="C34" s="3"/>
      <c r="D34" s="2" t="str" cm="1">
        <f t="array" ref="D34">IFERROR(_xlfn.IFS(AND(B34&gt;=6,C34&gt;=75),"APROVADO", AND( B34&lt;=5,B34&gt;=4,C34&gt;=65), "RECUPERAÇÃO", AND(B34&lt;=4,C34&lt;=65), "REPROVADO", AND(B34&gt;=6,C32&lt;=75), "RECUPERAÇÃO POR FALTA"), "SEM RESULTADO")</f>
        <v>REPROVADO</v>
      </c>
    </row>
    <row r="35" spans="3:4">
      <c r="C35" s="3"/>
      <c r="D35" s="2" t="str" cm="1">
        <f t="array" ref="D35">IFERROR(_xlfn.IFS(AND(B35&gt;=6,C35&gt;=75),"APROVADO", AND( B35&lt;=5,B35&gt;=4,C35&gt;=65), "RECUPERAÇÃO", AND(B35&lt;=4,C35&lt;=65), "REPROVADO", AND(B35&gt;=6,C33&lt;=75), "RECUPERAÇÃO POR FALTA"), "SEM RESULTADO")</f>
        <v>REPROVADO</v>
      </c>
    </row>
    <row r="36" spans="3:4">
      <c r="C36" s="3"/>
      <c r="D36" s="2" t="str" cm="1">
        <f t="array" ref="D36">IFERROR(_xlfn.IFS(AND(B36&gt;=6,C36&gt;=75),"APROVADO", AND( B36&lt;=5,B36&gt;=4,C36&gt;=65), "RECUPERAÇÃO", AND(B36&lt;=4,C36&lt;=65), "REPROVADO", AND(B36&gt;=6,C34&lt;=75), "RECUPERAÇÃO POR FALTA"), "SEM RESULTADO")</f>
        <v>REPROVADO</v>
      </c>
    </row>
    <row r="37" spans="3:4">
      <c r="C37" s="3"/>
      <c r="D37" s="2" t="str" cm="1">
        <f t="array" ref="D37">IFERROR(_xlfn.IFS(AND(B37&gt;=6,C37&gt;=75),"APROVADO", AND( B37&lt;=5,B37&gt;=4,C37&gt;=65), "RECUPERAÇÃO", AND(B37&lt;=4,C37&lt;=65), "REPROVADO", AND(B37&gt;=6,C35&lt;=75), "RECUPERAÇÃO POR FALTA"), "SEM RESULTADO")</f>
        <v>REPROVADO</v>
      </c>
    </row>
    <row r="38" spans="3:4">
      <c r="C38" s="3"/>
      <c r="D38" s="2" t="str" cm="1">
        <f t="array" ref="D38">IFERROR(_xlfn.IFS(AND(B38&gt;=6,C38&gt;=75),"APROVADO", AND( B38&lt;=5,B38&gt;=4,C38&gt;=65), "RECUPERAÇÃO", AND(B38&lt;=4,C38&lt;=65), "REPROVADO", AND(B38&gt;=6,C36&lt;=75), "RECUPERAÇÃO POR FALTA"), "SEM RESULTADO")</f>
        <v>REPROVADO</v>
      </c>
    </row>
    <row r="39" spans="3:4">
      <c r="C39" s="3"/>
      <c r="D39" s="2" t="str" cm="1">
        <f t="array" ref="D39">IFERROR(_xlfn.IFS(AND(B39&gt;=6,C39&gt;=75),"APROVADO", AND( B39&lt;=5,B39&gt;=4,C39&gt;=65), "RECUPERAÇÃO", AND(B39&lt;=4,C39&lt;=65), "REPROVADO", AND(B39&gt;=6,C37&lt;=75), "RECUPERAÇÃO POR FALTA"), "SEM RESULTADO")</f>
        <v>REPROVADO</v>
      </c>
    </row>
    <row r="40" spans="3:4">
      <c r="C40" s="3"/>
      <c r="D40" s="2" t="str" cm="1">
        <f t="array" ref="D40">IFERROR(_xlfn.IFS(AND(B40&gt;=6,C40&gt;=75),"APROVADO", AND( B40&lt;=5,B40&gt;=4,C40&gt;=65), "RECUPERAÇÃO", AND(B40&lt;=4,C40&lt;=65), "REPROVADO", AND(B40&gt;=6,C38&lt;=75), "RECUPERAÇÃO POR FALTA"), "SEM RESULTADO")</f>
        <v>REPROVADO</v>
      </c>
    </row>
    <row r="41" spans="3:4">
      <c r="C41" s="3"/>
      <c r="D41" s="2" t="str" cm="1">
        <f t="array" ref="D41">IFERROR(_xlfn.IFS(AND(B41&gt;=6,C41&gt;=75),"APROVADO", AND( B41&lt;=5,B41&gt;=4,C41&gt;=65), "RECUPERAÇÃO", AND(B41&lt;=4,C41&lt;=65), "REPROVADO", AND(B41&gt;=6,C39&lt;=75), "RECUPERAÇÃO POR FALTA"), "SEM RESULTADO")</f>
        <v>REPROVADO</v>
      </c>
    </row>
    <row r="42" spans="3:4">
      <c r="C42" s="3"/>
      <c r="D42" s="2" t="str" cm="1">
        <f t="array" ref="D42">IFERROR(_xlfn.IFS(AND(B42&gt;=6,C42&gt;=75),"APROVADO", AND( B42&lt;=5,B42&gt;=4,C42&gt;=65), "RECUPERAÇÃO", AND(B42&lt;=4,C42&lt;=65), "REPROVADO", AND(B42&gt;=6,C40&lt;=75), "RECUPERAÇÃO POR FALTA"), "SEM RESULTADO")</f>
        <v>REPROVADO</v>
      </c>
    </row>
    <row r="43" spans="3:4">
      <c r="C43" s="3"/>
      <c r="D43" s="2" t="str" cm="1">
        <f t="array" ref="D43">IFERROR(_xlfn.IFS(AND(B43&gt;=6,C43&gt;=75),"APROVADO", AND( B43&lt;=5,B43&gt;=4,C43&gt;=65), "RECUPERAÇÃO", AND(B43&lt;=4,C43&lt;=65), "REPROVADO", AND(B43&gt;=6,C41&lt;=75), "RECUPERAÇÃO POR FALTA"), "SEM RESULTADO")</f>
        <v>REPROVADO</v>
      </c>
    </row>
    <row r="44" spans="3:4">
      <c r="C44" s="3"/>
      <c r="D44" s="2" t="str" cm="1">
        <f t="array" ref="D44">IFERROR(_xlfn.IFS(AND(B44&gt;=6,C44&gt;=75),"APROVADO", AND( B44&lt;=5,B44&gt;=4,C44&gt;=65), "RECUPERAÇÃO", AND(B44&lt;=4,C44&lt;=65), "REPROVADO", AND(B44&gt;=6,C42&lt;=75), "RECUPERAÇÃO POR FALTA"), "SEM RESULTADO")</f>
        <v>REPROVADO</v>
      </c>
    </row>
    <row r="45" spans="3:4">
      <c r="C45" s="3"/>
      <c r="D45" s="2" t="str" cm="1">
        <f t="array" ref="D45">IFERROR(_xlfn.IFS(AND(B45&gt;=6,C45&gt;=75),"APROVADO", AND( B45&lt;=5,B45&gt;=4,C45&gt;=65), "RECUPERAÇÃO", AND(B45&lt;=4,C45&lt;=65), "REPROVADO", AND(B45&gt;=6,C43&lt;=75), "RECUPERAÇÃO POR FALTA"), "SEM RESULTADO")</f>
        <v>REPROVADO</v>
      </c>
    </row>
    <row r="46" spans="3:4">
      <c r="C46" s="3"/>
      <c r="D46" s="2" t="str" cm="1">
        <f t="array" ref="D46">IFERROR(_xlfn.IFS(AND(B46&gt;=6,C46&gt;=75),"APROVADO", AND( B46&lt;=5,B46&gt;=4,C46&gt;=65), "RECUPERAÇÃO", AND(B46&lt;=4,C46&lt;=65), "REPROVADO", AND(B46&gt;=6,C44&lt;=75), "RECUPERAÇÃO POR FALTA"), "SEM RESULTADO")</f>
        <v>REPROVADO</v>
      </c>
    </row>
    <row r="47" spans="3:4">
      <c r="C47" s="3"/>
      <c r="D47" s="2" t="str" cm="1">
        <f t="array" ref="D47">IFERROR(_xlfn.IFS(AND(B47&gt;=6,C47&gt;=75),"APROVADO", AND( B47&lt;=5,B47&gt;=4,C47&gt;=65), "RECUPERAÇÃO", AND(B47&lt;=4,C47&lt;=65), "REPROVADO", AND(B47&gt;=6,C45&lt;=75), "RECUPERAÇÃO POR FALTA"), "SEM RESULTADO")</f>
        <v>REPROVADO</v>
      </c>
    </row>
    <row r="48" spans="3:4">
      <c r="C48" s="3"/>
      <c r="D48" s="2" t="str" cm="1">
        <f t="array" ref="D48">IFERROR(_xlfn.IFS(AND(B48&gt;=6,C48&gt;=75),"APROVADO", AND( B48&lt;=5,B48&gt;=4,C48&gt;=65), "RECUPERAÇÃO", AND(B48&lt;=4,C48&lt;=65), "REPROVADO", AND(B48&gt;=6,C46&lt;=75), "RECUPERAÇÃO POR FALTA"), "SEM RESULTADO")</f>
        <v>REPROVADO</v>
      </c>
    </row>
    <row r="49" spans="3:4">
      <c r="C49" s="3"/>
      <c r="D49" s="2" t="str" cm="1">
        <f t="array" ref="D49">IFERROR(_xlfn.IFS(AND(B49&gt;=6,C49&gt;=75),"APROVADO", AND( B49&lt;=5,B49&gt;=4,C49&gt;=65), "RECUPERAÇÃO", AND(B49&lt;=4,C49&lt;=65), "REPROVADO", AND(B49&gt;=6,C47&lt;=75), "RECUPERAÇÃO POR FALTA"), "SEM RESULTADO")</f>
        <v>REPROVADO</v>
      </c>
    </row>
    <row r="50" spans="3:4">
      <c r="C50" s="3"/>
      <c r="D50" s="2" t="str" cm="1">
        <f t="array" ref="D50">IFERROR(_xlfn.IFS(AND(B50&gt;=6,C50&gt;=75),"APROVADO", AND( B50&lt;=5,B50&gt;=4,C50&gt;=65), "RECUPERAÇÃO", AND(B50&lt;=4,C50&lt;=65), "REPROVADO", AND(B50&gt;=6,C48&lt;=75), "RECUPERAÇÃO POR FALTA"), "SEM RESULTADO")</f>
        <v>REPROVADO</v>
      </c>
    </row>
    <row r="51" spans="3:4">
      <c r="C51" s="3"/>
      <c r="D51" s="2" t="str" cm="1">
        <f t="array" ref="D51">IFERROR(_xlfn.IFS(AND(B51&gt;=6,C51&gt;=75),"APROVADO", AND( B51&lt;=5,B51&gt;=4,C51&gt;=65), "RECUPERAÇÃO", AND(B51&lt;=4,C51&lt;=65), "REPROVADO", AND(B51&gt;=6,C49&lt;=75), "RECUPERAÇÃO POR FALTA"), "SEM RESULTADO")</f>
        <v>REPROVADO</v>
      </c>
    </row>
    <row r="52" spans="3:4">
      <c r="C52" s="3"/>
      <c r="D52" s="2" t="str" cm="1">
        <f t="array" ref="D52">IFERROR(_xlfn.IFS(AND(B52&gt;=6,C52&gt;=75),"APROVADO", AND( B52&lt;=5,B52&gt;=4,C52&gt;=65), "RECUPERAÇÃO", AND(B52&lt;=4,C52&lt;=65), "REPROVADO", AND(B52&gt;=6,C50&lt;=75), "RECUPERAÇÃO POR FALTA"), "SEM RESULTADO")</f>
        <v>REPROVADO</v>
      </c>
    </row>
    <row r="53" spans="3:4">
      <c r="C53" s="3"/>
      <c r="D53" s="2" t="str" cm="1">
        <f t="array" ref="D53">IFERROR(_xlfn.IFS(AND(B53&gt;=6,C53&gt;=75),"APROVADO", AND( B53&lt;=5,B53&gt;=4,C53&gt;=65), "RECUPERAÇÃO", AND(B53&lt;=4,C53&lt;=65), "REPROVADO", AND(B53&gt;=6,C51&lt;=75), "RECUPERAÇÃO POR FALTA"), "SEM RESULTADO")</f>
        <v>REPROVADO</v>
      </c>
    </row>
    <row r="54" spans="3:4">
      <c r="C54" s="3"/>
      <c r="D54" s="2" t="str" cm="1">
        <f t="array" ref="D54">IFERROR(_xlfn.IFS(AND(B54&gt;=6,C54&gt;=75),"APROVADO", AND( B54&lt;=5,B54&gt;=4,C54&gt;=65), "RECUPERAÇÃO", AND(B54&lt;=4,C54&lt;=65), "REPROVADO", AND(B54&gt;=6,C52&lt;=75), "RECUPERAÇÃO POR FALTA"), "SEM RESULTADO")</f>
        <v>REPROVADO</v>
      </c>
    </row>
    <row r="55" spans="3:4">
      <c r="C55" s="3"/>
      <c r="D55" s="2" t="str" cm="1">
        <f t="array" ref="D55">IFERROR(_xlfn.IFS(AND(B55&gt;=6,C55&gt;=75),"APROVADO", AND( B55&lt;=5,B55&gt;=4,C55&gt;=65), "RECUPERAÇÃO", AND(B55&lt;=4,C55&lt;=65), "REPROVADO", AND(B55&gt;=6,C53&lt;=75), "RECUPERAÇÃO POR FALTA"), "SEM RESULTADO")</f>
        <v>REPROVADO</v>
      </c>
    </row>
    <row r="56" spans="3:4">
      <c r="C56" s="3"/>
      <c r="D56" s="2" t="str" cm="1">
        <f t="array" ref="D56">IFERROR(_xlfn.IFS(AND(B56&gt;=6,C56&gt;=75),"APROVADO", AND( B56&lt;=5,B56&gt;=4,C56&gt;=65), "RECUPERAÇÃO", AND(B56&lt;=4,C56&lt;=65), "REPROVADO", AND(B56&gt;=6,C54&lt;=75), "RECUPERAÇÃO POR FALTA"), "SEM RESULTADO")</f>
        <v>REPROVADO</v>
      </c>
    </row>
    <row r="57" spans="3:4">
      <c r="C57" s="3"/>
      <c r="D57" s="2" t="str" cm="1">
        <f t="array" ref="D57">IFERROR(_xlfn.IFS(AND(B57&gt;=6,C57&gt;=75),"APROVADO", AND( B57&lt;=5,B57&gt;=4,C57&gt;=65), "RECUPERAÇÃO", AND(B57&lt;=4,C57&lt;=65), "REPROVADO", AND(B57&gt;=6,C55&lt;=75), "RECUPERAÇÃO POR FALTA"), "SEM RESULTADO")</f>
        <v>REPROVADO</v>
      </c>
    </row>
    <row r="58" spans="3:4">
      <c r="C58" s="3"/>
      <c r="D58" s="2" t="str" cm="1">
        <f t="array" ref="D58">IFERROR(_xlfn.IFS(AND(B58&gt;=6,C58&gt;=75),"APROVADO", AND( B58&lt;=5,B58&gt;=4,C58&gt;=65), "RECUPERAÇÃO", AND(B58&lt;=4,C58&lt;=65), "REPROVADO", AND(B58&gt;=6,C56&lt;=75), "RECUPERAÇÃO POR FALTA"), "SEM RESULTADO")</f>
        <v>REPROVADO</v>
      </c>
    </row>
    <row r="59" spans="3:4">
      <c r="C59" s="3"/>
      <c r="D59" s="2" t="str" cm="1">
        <f t="array" ref="D59">IFERROR(_xlfn.IFS(AND(B59&gt;=6,C59&gt;=75),"APROVADO", AND( B59&lt;=5,B59&gt;=4,C59&gt;=65), "RECUPERAÇÃO", AND(B59&lt;=4,C59&lt;=65), "REPROVADO", AND(B59&gt;=6,C57&lt;=75), "RECUPERAÇÃO POR FALTA"), "SEM RESULTADO")</f>
        <v>REPROVADO</v>
      </c>
    </row>
    <row r="60" spans="3:4">
      <c r="C60" s="3"/>
      <c r="D60" s="2" t="str" cm="1">
        <f t="array" ref="D60">IFERROR(_xlfn.IFS(AND(B60&gt;=6,C60&gt;=75),"APROVADO", AND( B60&lt;=5,B60&gt;=4,C60&gt;=65), "RECUPERAÇÃO", AND(B60&lt;=4,C60&lt;=65), "REPROVADO", AND(B60&gt;=6,C58&lt;=75), "RECUPERAÇÃO POR FALTA"), "SEM RESULTADO")</f>
        <v>REPROVADO</v>
      </c>
    </row>
    <row r="61" spans="3:4">
      <c r="C61" s="3"/>
      <c r="D61" s="2" t="str" cm="1">
        <f t="array" ref="D61">IFERROR(_xlfn.IFS(AND(B61&gt;=6,C61&gt;=75),"APROVADO", AND( B61&lt;=5,B61&gt;=4,C61&gt;=65), "RECUPERAÇÃO", AND(B61&lt;=4,C61&lt;=65), "REPROVADO", AND(B61&gt;=6,C59&lt;=75), "RECUPERAÇÃO POR FALTA"), "SEM RESULTADO")</f>
        <v>REPROVADO</v>
      </c>
    </row>
    <row r="62" spans="3:4">
      <c r="C62" s="3"/>
      <c r="D62" s="2" t="str" cm="1">
        <f t="array" ref="D62">IFERROR(_xlfn.IFS(AND(B62&gt;=6,C62&gt;=75),"APROVADO", AND( B62&lt;=5,B62&gt;=4,C62&gt;=65), "RECUPERAÇÃO", AND(B62&lt;=4,C62&lt;=65), "REPROVADO", AND(B62&gt;=6,C60&lt;=75), "RECUPERAÇÃO POR FALTA"), "SEM RESULTADO")</f>
        <v>REPROVADO</v>
      </c>
    </row>
    <row r="63" spans="3:4">
      <c r="C63" s="3"/>
      <c r="D63" s="2" t="str" cm="1">
        <f t="array" ref="D63">IFERROR(_xlfn.IFS(AND(B63&gt;=6,C63&gt;=75),"APROVADO", AND( B63&lt;=5,B63&gt;=4,C63&gt;=65), "RECUPERAÇÃO", AND(B63&lt;=4,C63&lt;=65), "REPROVADO", AND(B63&gt;=6,C61&lt;=75), "RECUPERAÇÃO POR FALTA"), "SEM RESULTADO")</f>
        <v>REPROVADO</v>
      </c>
    </row>
    <row r="64" spans="3:4">
      <c r="C64" s="3"/>
      <c r="D64" s="2" t="str" cm="1">
        <f t="array" ref="D64">IFERROR(_xlfn.IFS(AND(B64&gt;=6,C64&gt;=75),"APROVADO", AND( B64&lt;=5,B64&gt;=4,C64&gt;=65), "RECUPERAÇÃO", AND(B64&lt;=4,C64&lt;=65), "REPROVADO", AND(B64&gt;=6,C62&lt;=75), "RECUPERAÇÃO POR FALTA"), "SEM RESULTADO")</f>
        <v>REPROVADO</v>
      </c>
    </row>
    <row r="65" spans="3:4">
      <c r="C65" s="3"/>
      <c r="D65" s="2" t="str" cm="1">
        <f t="array" ref="D65">IFERROR(_xlfn.IFS(AND(B65&gt;=6,C65&gt;=75),"APROVADO", AND( B65&lt;=5,B65&gt;=4,C65&gt;=65), "RECUPERAÇÃO", AND(B65&lt;=4,C65&lt;=65), "REPROVADO", AND(B65&gt;=6,C63&lt;=75), "RECUPERAÇÃO POR FALTA"), "SEM RESULTADO")</f>
        <v>REPROVADO</v>
      </c>
    </row>
    <row r="66" spans="3:4">
      <c r="C66" s="3"/>
      <c r="D66" s="2" t="str" cm="1">
        <f t="array" ref="D66">IFERROR(_xlfn.IFS(AND(B66&gt;=6,C66&gt;=75),"APROVADO", AND( B66&lt;=5,B66&gt;=4,C66&gt;=65), "RECUPERAÇÃO", AND(B66&lt;=4,C66&lt;=65), "REPROVADO", AND(B66&gt;=6,C64&lt;=75), "RECUPERAÇÃO POR FALTA"), "SEM RESULTADO")</f>
        <v>REPROVADO</v>
      </c>
    </row>
    <row r="67" spans="3:4">
      <c r="C67" s="3"/>
      <c r="D67" s="2" t="str" cm="1">
        <f t="array" ref="D67">IFERROR(_xlfn.IFS(AND(B67&gt;=6,C67&gt;=75),"APROVADO", AND( B67&lt;=5,B67&gt;=4,C67&gt;=65), "RECUPERAÇÃO", AND(B67&lt;=4,C67&lt;=65), "REPROVADO", AND(B67&gt;=6,C65&lt;=75), "RECUPERAÇÃO POR FALTA"), "SEM RESULTADO")</f>
        <v>REPROVADO</v>
      </c>
    </row>
    <row r="68" spans="3:4">
      <c r="C68" s="3"/>
      <c r="D68" s="2" t="str" cm="1">
        <f t="array" ref="D68">IFERROR(_xlfn.IFS(AND(B68&gt;=6,C68&gt;=75),"APROVADO", AND( B68&lt;=5,B68&gt;=4,C68&gt;=65), "RECUPERAÇÃO", AND(B68&lt;=4,C68&lt;=65), "REPROVADO", AND(B68&gt;=6,C66&lt;=75), "RECUPERAÇÃO POR FALTA"), "SEM RESULTADO")</f>
        <v>REPROVADO</v>
      </c>
    </row>
    <row r="69" spans="3:4">
      <c r="C69" s="3"/>
      <c r="D69" s="2" t="str" cm="1">
        <f t="array" ref="D69">IFERROR(_xlfn.IFS(AND(B69&gt;=6,C69&gt;=75),"APROVADO", AND( B69&lt;=5,B69&gt;=4,C69&gt;=65), "RECUPERAÇÃO", AND(B69&lt;=4,C69&lt;=65), "REPROVADO", AND(B69&gt;=6,C67&lt;=75), "RECUPERAÇÃO POR FALTA"), "SEM RESULTADO")</f>
        <v>REPROVADO</v>
      </c>
    </row>
    <row r="70" spans="3:4">
      <c r="C70" s="3"/>
      <c r="D70" s="2" t="str" cm="1">
        <f t="array" ref="D70">IFERROR(_xlfn.IFS(AND(B70&gt;=6,C70&gt;=75),"APROVADO", AND( B70&lt;=5,B70&gt;=4,C70&gt;=65), "RECUPERAÇÃO", AND(B70&lt;=4,C70&lt;=65), "REPROVADO", AND(B70&gt;=6,C68&lt;=75), "RECUPERAÇÃO POR FALTA"), "SEM RESULTADO")</f>
        <v>REPROVADO</v>
      </c>
    </row>
    <row r="71" spans="3:4">
      <c r="C71" s="3"/>
      <c r="D71" s="2" t="str" cm="1">
        <f t="array" ref="D71">IFERROR(_xlfn.IFS(AND(B71&gt;=6,C71&gt;=75),"APROVADO", AND( B71&lt;=5,B71&gt;=4,C71&gt;=65), "RECUPERAÇÃO", AND(B71&lt;=4,C71&lt;=65), "REPROVADO", AND(B71&gt;=6,C69&lt;=75), "RECUPERAÇÃO POR FALTA"), "SEM RESULTADO")</f>
        <v>REPROVADO</v>
      </c>
    </row>
    <row r="72" spans="3:4">
      <c r="C72" s="3"/>
      <c r="D72" s="2" t="str" cm="1">
        <f t="array" ref="D72">IFERROR(_xlfn.IFS(AND(B72&gt;=6,C72&gt;=75),"APROVADO", AND( B72&lt;=5,B72&gt;=4,C72&gt;=65), "RECUPERAÇÃO", AND(B72&lt;=4,C72&lt;=65), "REPROVADO", AND(B72&gt;=6,C70&lt;=75), "RECUPERAÇÃO POR FALTA"), "SEM RESULTADO")</f>
        <v>REPROVADO</v>
      </c>
    </row>
    <row r="73" spans="3:4">
      <c r="C73" s="3"/>
      <c r="D73" s="2" t="str" cm="1">
        <f t="array" ref="D73">IFERROR(_xlfn.IFS(AND(B73&gt;=6,C73&gt;=75),"APROVADO", AND( B73&lt;=5,B73&gt;=4,C73&gt;=65), "RECUPERAÇÃO", AND(B73&lt;=4,C73&lt;=65), "REPROVADO", AND(B73&gt;=6,C71&lt;=75), "RECUPERAÇÃO POR FALTA"), "SEM RESULTADO")</f>
        <v>REPROVADO</v>
      </c>
    </row>
    <row r="74" spans="3:4">
      <c r="C74" s="3"/>
      <c r="D74" s="2" t="str" cm="1">
        <f t="array" ref="D74">IFERROR(_xlfn.IFS(AND(B74&gt;=6,C74&gt;=75),"APROVADO", AND( B74&lt;=5,B74&gt;=4,C74&gt;=65), "RECUPERAÇÃO", AND(B74&lt;=4,C74&lt;=65), "REPROVADO", AND(B74&gt;=6,C72&lt;=75), "RECUPERAÇÃO POR FALTA"), "SEM RESULTADO")</f>
        <v>REPROVADO</v>
      </c>
    </row>
    <row r="75" spans="3:4">
      <c r="C75" s="3"/>
      <c r="D75" s="2" t="str" cm="1">
        <f t="array" ref="D75">IFERROR(_xlfn.IFS(AND(B75&gt;=6,C75&gt;=75),"APROVADO", AND( B75&lt;=5,B75&gt;=4,C75&gt;=65), "RECUPERAÇÃO", AND(B75&lt;=4,C75&lt;=65), "REPROVADO", AND(B75&gt;=6,C73&lt;=75), "RECUPERAÇÃO POR FALTA"), "SEM RESULTADO")</f>
        <v>REPROVADO</v>
      </c>
    </row>
    <row r="76" spans="3:4">
      <c r="C76" s="3"/>
      <c r="D76" s="2" t="str" cm="1">
        <f t="array" ref="D76">IFERROR(_xlfn.IFS(AND(B76&gt;=6,C76&gt;=75),"APROVADO", AND( B76&lt;=5,B76&gt;=4,C76&gt;=65), "RECUPERAÇÃO", AND(B76&lt;=4,C76&lt;=65), "REPROVADO", AND(B76&gt;=6,C74&lt;=75), "RECUPERAÇÃO POR FALTA"), "SEM RESULTADO")</f>
        <v>REPROVADO</v>
      </c>
    </row>
    <row r="77" spans="3:4">
      <c r="C77" s="3"/>
      <c r="D77" s="2" t="str" cm="1">
        <f t="array" ref="D77">IFERROR(_xlfn.IFS(AND(B77&gt;=6,C77&gt;=75),"APROVADO", AND( B77&lt;=5,B77&gt;=4,C77&gt;=65), "RECUPERAÇÃO", AND(B77&lt;=4,C77&lt;=65), "REPROVADO", AND(B77&gt;=6,C75&lt;=75), "RECUPERAÇÃO POR FALTA"), "SEM RESULTADO")</f>
        <v>REPROVADO</v>
      </c>
    </row>
    <row r="78" spans="3:4">
      <c r="C78" s="3"/>
      <c r="D78" s="2" t="str" cm="1">
        <f t="array" ref="D78">IFERROR(_xlfn.IFS(AND(B78&gt;=6,C78&gt;=75),"APROVADO", AND( B78&lt;=5,B78&gt;=4,C78&gt;=65), "RECUPERAÇÃO", AND(B78&lt;=4,C78&lt;=65), "REPROVADO", AND(B78&gt;=6,C76&lt;=75), "RECUPERAÇÃO POR FALTA"), "SEM RESULTADO")</f>
        <v>REPROVADO</v>
      </c>
    </row>
    <row r="79" spans="3:4">
      <c r="C79" s="3"/>
      <c r="D79" s="2" t="str" cm="1">
        <f t="array" ref="D79">IFERROR(_xlfn.IFS(AND(B79&gt;=6,C79&gt;=75),"APROVADO", AND( B79&lt;=5,B79&gt;=4,C79&gt;=65), "RECUPERAÇÃO", AND(B79&lt;=4,C79&lt;=65), "REPROVADO", AND(B79&gt;=6,C77&lt;=75), "RECUPERAÇÃO POR FALTA"), "SEM RESULTADO")</f>
        <v>REPROVADO</v>
      </c>
    </row>
    <row r="80" spans="3:4">
      <c r="C80" s="3"/>
      <c r="D80" s="2" t="str" cm="1">
        <f t="array" ref="D80">IFERROR(_xlfn.IFS(AND(B80&gt;=6,C80&gt;=75),"APROVADO", AND( B80&lt;=5,B80&gt;=4,C80&gt;=65), "RECUPERAÇÃO", AND(B80&lt;=4,C80&lt;=65), "REPROVADO", AND(B80&gt;=6,C78&lt;=75), "RECUPERAÇÃO POR FALTA"), "SEM RESULTADO")</f>
        <v>REPROVADO</v>
      </c>
    </row>
    <row r="81" spans="3:4">
      <c r="C81" s="3"/>
      <c r="D81" s="2" t="str" cm="1">
        <f t="array" ref="D81">IFERROR(_xlfn.IFS(AND(B81&gt;=6,C81&gt;=75),"APROVADO", AND( B81&lt;=5,B81&gt;=4,C81&gt;=65), "RECUPERAÇÃO", AND(B81&lt;=4,C81&lt;=65), "REPROVADO", AND(B81&gt;=6,C79&lt;=75), "RECUPERAÇÃO POR FALTA"), "SEM RESULTADO")</f>
        <v>REPROVADO</v>
      </c>
    </row>
    <row r="82" spans="3:4">
      <c r="C82" s="3"/>
      <c r="D82" s="2" t="str" cm="1">
        <f t="array" ref="D82">IFERROR(_xlfn.IFS(AND(B82&gt;=6,C82&gt;=75),"APROVADO", AND( B82&lt;=5,B82&gt;=4,C82&gt;=65), "RECUPERAÇÃO", AND(B82&lt;=4,C82&lt;=65), "REPROVADO", AND(B82&gt;=6,C80&lt;=75), "RECUPERAÇÃO POR FALTA"), "SEM RESULTADO")</f>
        <v>REPROVADO</v>
      </c>
    </row>
    <row r="83" spans="3:4">
      <c r="C83" s="3"/>
      <c r="D83" s="2" t="str" cm="1">
        <f t="array" ref="D83">IFERROR(_xlfn.IFS(AND(B83&gt;=6,C83&gt;=75),"APROVADO", AND( B83&lt;=5,B83&gt;=4,C83&gt;=65), "RECUPERAÇÃO", AND(B83&lt;=4,C83&lt;=65), "REPROVADO", AND(B83&gt;=6,C81&lt;=75), "RECUPERAÇÃO POR FALTA"), "SEM RESULTADO")</f>
        <v>REPROVADO</v>
      </c>
    </row>
    <row r="84" spans="3:4">
      <c r="C84" s="3"/>
      <c r="D84" s="2" t="str" cm="1">
        <f t="array" ref="D84">IFERROR(_xlfn.IFS(AND(B84&gt;=6,C84&gt;=75),"APROVADO", AND( B84&lt;=5,B84&gt;=4,C84&gt;=65), "RECUPERAÇÃO", AND(B84&lt;=4,C84&lt;=65), "REPROVADO", AND(B84&gt;=6,C82&lt;=75), "RECUPERAÇÃO POR FALTA"), "SEM RESULTADO")</f>
        <v>REPROVADO</v>
      </c>
    </row>
    <row r="85" spans="3:4">
      <c r="C85" s="3"/>
      <c r="D85" s="2" t="str" cm="1">
        <f t="array" ref="D85">IFERROR(_xlfn.IFS(AND(B85&gt;=6,C85&gt;=75),"APROVADO", AND( B85&lt;=5,B85&gt;=4,C85&gt;=65), "RECUPERAÇÃO", AND(B85&lt;=4,C85&lt;=65), "REPROVADO", AND(B85&gt;=6,C83&lt;=75), "RECUPERAÇÃO POR FALTA"), "SEM RESULTADO")</f>
        <v>REPROVADO</v>
      </c>
    </row>
    <row r="86" spans="3:4">
      <c r="C86" s="3"/>
      <c r="D86" s="2" t="str" cm="1">
        <f t="array" ref="D86">IFERROR(_xlfn.IFS(AND(B86&gt;=6,C86&gt;=75),"APROVADO", AND( B86&lt;=5,B86&gt;=4,C86&gt;=65), "RECUPERAÇÃO", AND(B86&lt;=4,C86&lt;=65), "REPROVADO", AND(B86&gt;=6,C84&lt;=75), "RECUPERAÇÃO POR FALTA"), "SEM RESULTADO")</f>
        <v>REPROVADO</v>
      </c>
    </row>
    <row r="87" spans="3:4">
      <c r="C87" s="3"/>
      <c r="D87" s="2" t="str" cm="1">
        <f t="array" ref="D87">IFERROR(_xlfn.IFS(AND(B87&gt;=6,C87&gt;=75),"APROVADO", AND( B87&lt;=5,B87&gt;=4,C87&gt;=65), "RECUPERAÇÃO", AND(B87&lt;=4,C87&lt;=65), "REPROVADO", AND(B87&gt;=6,C85&lt;=75), "RECUPERAÇÃO POR FALTA"), "SEM RESULTADO")</f>
        <v>REPROVADO</v>
      </c>
    </row>
    <row r="88" spans="3:4">
      <c r="C88" s="3"/>
      <c r="D88" s="2" t="str" cm="1">
        <f t="array" ref="D88">IFERROR(_xlfn.IFS(AND(B88&gt;=6,C88&gt;=75),"APROVADO", AND( B88&lt;=5,B88&gt;=4,C88&gt;=65), "RECUPERAÇÃO", AND(B88&lt;=4,C88&lt;=65), "REPROVADO", AND(B88&gt;=6,C86&lt;=75), "RECUPERAÇÃO POR FALTA"), "SEM RESULTADO")</f>
        <v>REPROVADO</v>
      </c>
    </row>
    <row r="89" spans="3:4">
      <c r="C89" s="3"/>
      <c r="D89" s="2" t="str" cm="1">
        <f t="array" ref="D89">IFERROR(_xlfn.IFS(AND(B89&gt;=6,C89&gt;=75),"APROVADO", AND( B89&lt;=5,B89&gt;=4,C89&gt;=65), "RECUPERAÇÃO", AND(B89&lt;=4,C89&lt;=65), "REPROVADO", AND(B89&gt;=6,C87&lt;=75), "RECUPERAÇÃO POR FALTA"), "SEM RESULTADO")</f>
        <v>REPROVADO</v>
      </c>
    </row>
    <row r="90" spans="3:4">
      <c r="C90" s="3"/>
      <c r="D90" s="2" t="str" cm="1">
        <f t="array" ref="D90">IFERROR(_xlfn.IFS(AND(B90&gt;=6,C90&gt;=75),"APROVADO", AND( B90&lt;=5,B90&gt;=4,C90&gt;=65), "RECUPERAÇÃO", AND(B90&lt;=4,C90&lt;=65), "REPROVADO", AND(B90&gt;=6,C88&lt;=75), "RECUPERAÇÃO POR FALTA"), "SEM RESULTADO")</f>
        <v>REPROVADO</v>
      </c>
    </row>
    <row r="91" spans="3:4">
      <c r="C91" s="3"/>
      <c r="D91" s="2" t="str" cm="1">
        <f t="array" ref="D91">IFERROR(_xlfn.IFS(AND(B91&gt;=6,C91&gt;=75),"APROVADO", AND( B91&lt;=5,B91&gt;=4,C91&gt;=65), "RECUPERAÇÃO", AND(B91&lt;=4,C91&lt;=65), "REPROVADO", AND(B91&gt;=6,C89&lt;=75), "RECUPERAÇÃO POR FALTA"), "SEM RESULTADO")</f>
        <v>REPROVADO</v>
      </c>
    </row>
    <row r="92" spans="3:4">
      <c r="C92" s="3"/>
      <c r="D92" s="2" t="str" cm="1">
        <f t="array" ref="D92">IFERROR(_xlfn.IFS(AND(B92&gt;=6,C92&gt;=75),"APROVADO", AND( B92&lt;=5,B92&gt;=4,C92&gt;=65), "RECUPERAÇÃO", AND(B92&lt;=4,C92&lt;=65), "REPROVADO", AND(B92&gt;=6,C90&lt;=75), "RECUPERAÇÃO POR FALTA"), "SEM RESULTADO")</f>
        <v>REPROVADO</v>
      </c>
    </row>
    <row r="93" spans="3:4">
      <c r="C93" s="3"/>
      <c r="D93" s="2" t="str" cm="1">
        <f t="array" ref="D93">IFERROR(_xlfn.IFS(AND(B93&gt;=6,C93&gt;=75),"APROVADO", AND( B93&lt;=5,B93&gt;=4,C93&gt;=65), "RECUPERAÇÃO", AND(B93&lt;=4,C93&lt;=65), "REPROVADO", AND(B93&gt;=6,C91&lt;=75), "RECUPERAÇÃO POR FALTA"), "SEM RESULTADO")</f>
        <v>REPROVADO</v>
      </c>
    </row>
    <row r="94" spans="3:4">
      <c r="C94" s="3"/>
      <c r="D94" s="2" t="str" cm="1">
        <f t="array" ref="D94">IFERROR(_xlfn.IFS(AND(B94&gt;=6,C94&gt;=75),"APROVADO", AND( B94&lt;=5,B94&gt;=4,C94&gt;=65), "RECUPERAÇÃO", AND(B94&lt;=4,C94&lt;=65), "REPROVADO", AND(B94&gt;=6,C92&lt;=75), "RECUPERAÇÃO POR FALTA"), "SEM RESULTADO")</f>
        <v>REPROVADO</v>
      </c>
    </row>
    <row r="95" spans="3:4">
      <c r="C95" s="3"/>
      <c r="D95" s="2" t="str" cm="1">
        <f t="array" ref="D95">IFERROR(_xlfn.IFS(AND(B95&gt;=6,C95&gt;=75),"APROVADO", AND( B95&lt;=5,B95&gt;=4,C95&gt;=65), "RECUPERAÇÃO", AND(B95&lt;=4,C95&lt;=65), "REPROVADO", AND(B95&gt;=6,C93&lt;=75), "RECUPERAÇÃO POR FALTA"), "SEM RESULTADO")</f>
        <v>REPROVADO</v>
      </c>
    </row>
    <row r="96" spans="3:4">
      <c r="C96" s="3"/>
      <c r="D96" s="2" t="str" cm="1">
        <f t="array" ref="D96">IFERROR(_xlfn.IFS(AND(B96&gt;=6,C96&gt;=75),"APROVADO", AND( B96&lt;=5,B96&gt;=4,C96&gt;=65), "RECUPERAÇÃO", AND(B96&lt;=4,C96&lt;=65), "REPROVADO", AND(B96&gt;=6,C94&lt;=75), "RECUPERAÇÃO POR FALTA"), "SEM RESULTADO")</f>
        <v>REPROVADO</v>
      </c>
    </row>
    <row r="97" spans="3:4">
      <c r="C97" s="3"/>
      <c r="D97" s="2" t="str" cm="1">
        <f t="array" ref="D97">IFERROR(_xlfn.IFS(AND(B97&gt;=6,C97&gt;=75),"APROVADO", AND( B97&lt;=5,B97&gt;=4,C97&gt;=65), "RECUPERAÇÃO", AND(B97&lt;=4,C97&lt;=65), "REPROVADO", AND(B97&gt;=6,C95&lt;=75), "RECUPERAÇÃO POR FALTA"), "SEM RESULTADO")</f>
        <v>REPROVADO</v>
      </c>
    </row>
    <row r="98" spans="3:4">
      <c r="C98" s="3"/>
      <c r="D98" s="2" t="str" cm="1">
        <f t="array" ref="D98">IFERROR(_xlfn.IFS(AND(B98&gt;=6,C98&gt;=75),"APROVADO", AND( B98&lt;=5,B98&gt;=4,C98&gt;=65), "RECUPERAÇÃO", AND(B98&lt;=4,C98&lt;=65), "REPROVADO", AND(B98&gt;=6,C96&lt;=75), "RECUPERAÇÃO POR FALTA"), "SEM RESULTADO")</f>
        <v>REPROVADO</v>
      </c>
    </row>
    <row r="99" spans="3:4">
      <c r="C99" s="3"/>
      <c r="D99" s="2" t="str" cm="1">
        <f t="array" ref="D99">IFERROR(_xlfn.IFS(AND(B99&gt;=6,C99&gt;=75),"APROVADO", AND( B99&lt;=5,B99&gt;=4,C99&gt;=65), "RECUPERAÇÃO", AND(B99&lt;=4,C99&lt;=65), "REPROVADO", AND(B99&gt;=6,C97&lt;=75), "RECUPERAÇÃO POR FALTA"), "SEM RESULTADO")</f>
        <v>REPROVADO</v>
      </c>
    </row>
    <row r="100" spans="3:4">
      <c r="C100" s="3"/>
      <c r="D100" s="2" t="str" cm="1">
        <f t="array" ref="D100">IFERROR(_xlfn.IFS(AND(B100&gt;=6,C100&gt;=75),"APROVADO", AND( B100&lt;=5,B100&gt;=4,C100&gt;=65), "RECUPERAÇÃO", AND(B100&lt;=4,C100&lt;=65), "REPROVADO", AND(B100&gt;=6,C98&lt;=75), "RECUPERAÇÃO POR FALTA"), "SEM RESULTADO")</f>
        <v>REPROVADO</v>
      </c>
    </row>
    <row r="101" spans="3:4">
      <c r="C101" s="3"/>
      <c r="D101" s="2" t="str" cm="1">
        <f t="array" ref="D101">IFERROR(_xlfn.IFS(AND(B101&gt;=6,C101&gt;=75),"APROVADO", AND( B101&lt;=5,B101&gt;=4,C101&gt;=65), "RECUPERAÇÃO", AND(B101&lt;=4,C101&lt;=65), "REPROVADO", AND(B101&gt;=6,C99&lt;=75), "RECUPERAÇÃO POR FALTA"), "SEM RESULTADO")</f>
        <v>REPROVADO</v>
      </c>
    </row>
    <row r="102" spans="3:4">
      <c r="C102" s="3"/>
      <c r="D102" s="2" t="str" cm="1">
        <f t="array" ref="D102">IFERROR(_xlfn.IFS(AND(B102&gt;=6,C102&gt;=75),"APROVADO", AND( B102&lt;=5,B102&gt;=4,C102&gt;=65), "RECUPERAÇÃO", AND(B102&lt;=4,C102&lt;=65), "REPROVADO", AND(B102&gt;=6,C100&lt;=75), "RECUPERAÇÃO POR FALTA"), "SEM RESULTADO")</f>
        <v>REPROVADO</v>
      </c>
    </row>
    <row r="103" spans="3:4">
      <c r="C103" s="3"/>
      <c r="D103" s="2" t="str" cm="1">
        <f t="array" ref="D103">IFERROR(_xlfn.IFS(AND(B103&gt;=6,C103&gt;=75),"APROVADO", AND( B103&lt;=5,B103&gt;=4,C103&gt;=65), "RECUPERAÇÃO", AND(B103&lt;=4,C103&lt;=65), "REPROVADO", AND(B103&gt;=6,C101&lt;=75), "RECUPERAÇÃO POR FALTA"), "SEM RESULTADO")</f>
        <v>REPROVADO</v>
      </c>
    </row>
    <row r="104" spans="3:4">
      <c r="C104" s="3"/>
      <c r="D104" s="2" t="str" cm="1">
        <f t="array" ref="D104">IFERROR(_xlfn.IFS(AND(B104&gt;=6,C104&gt;=75),"APROVADO", AND( B104&lt;=5,B104&gt;=4,C104&gt;=65), "RECUPERAÇÃO", AND(B104&lt;=4,C104&lt;=65), "REPROVADO", AND(B104&gt;=6,C102&lt;=75), "RECUPERAÇÃO POR FALTA"), "SEM RESULTADO")</f>
        <v>REPROVADO</v>
      </c>
    </row>
    <row r="105" spans="3:4">
      <c r="C105" s="3"/>
      <c r="D105" s="2" t="str" cm="1">
        <f t="array" ref="D105">IFERROR(_xlfn.IFS(AND(B105&gt;=6,C105&gt;=75),"APROVADO", AND( B105&lt;=5,B105&gt;=4,C105&gt;=65), "RECUPERAÇÃO", AND(B105&lt;=4,C105&lt;=65), "REPROVADO", AND(B105&gt;=6,C103&lt;=75), "RECUPERAÇÃO POR FALTA"), "SEM RESULTADO")</f>
        <v>REPROVADO</v>
      </c>
    </row>
    <row r="106" spans="3:4">
      <c r="C106" s="3"/>
      <c r="D106" s="2" t="str" cm="1">
        <f t="array" ref="D106">IFERROR(_xlfn.IFS(AND(B106&gt;=6,C106&gt;=75),"APROVADO", AND( B106&lt;=5,B106&gt;=4,C106&gt;=65), "RECUPERAÇÃO", AND(B106&lt;=4,C106&lt;=65), "REPROVADO", AND(B106&gt;=6,C104&lt;=75), "RECUPERAÇÃO POR FALTA"), "SEM RESULTADO")</f>
        <v>REPROVADO</v>
      </c>
    </row>
    <row r="107" spans="3:4">
      <c r="C107" s="3"/>
      <c r="D107" s="2" t="str" cm="1">
        <f t="array" ref="D107">IFERROR(_xlfn.IFS(AND(B107&gt;=6,C107&gt;=75),"APROVADO", AND( B107&lt;=5,B107&gt;=4,C107&gt;=65), "RECUPERAÇÃO", AND(B107&lt;=4,C107&lt;=65), "REPROVADO", AND(B107&gt;=6,C105&lt;=75), "RECUPERAÇÃO POR FALTA"), "SEM RESULTADO")</f>
        <v>REPROVADO</v>
      </c>
    </row>
    <row r="108" spans="3:4">
      <c r="C108" s="3"/>
      <c r="D108" s="2" t="str" cm="1">
        <f t="array" ref="D108">IFERROR(_xlfn.IFS(AND(B108&gt;=6,C108&gt;=75),"APROVADO", AND( B108&lt;=5,B108&gt;=4,C108&gt;=65), "RECUPERAÇÃO", AND(B108&lt;=4,C108&lt;=65), "REPROVADO", AND(B108&gt;=6,C106&lt;=75), "RECUPERAÇÃO POR FALTA"), "SEM RESULTADO")</f>
        <v>REPROVADO</v>
      </c>
    </row>
    <row r="109" spans="3:4">
      <c r="C109" s="3"/>
      <c r="D109" s="2" t="str" cm="1">
        <f t="array" ref="D109">IFERROR(_xlfn.IFS(AND(B109&gt;=6,C109&gt;=75),"APROVADO", AND( B109&lt;=5,B109&gt;=4,C109&gt;=65), "RECUPERAÇÃO", AND(B109&lt;=4,C109&lt;=65), "REPROVADO", AND(B109&gt;=6,C107&lt;=75), "RECUPERAÇÃO POR FALTA"), "SEM RESULTADO")</f>
        <v>REPROVADO</v>
      </c>
    </row>
    <row r="110" spans="3:4">
      <c r="C110" s="3"/>
      <c r="D110" s="2" t="str" cm="1">
        <f t="array" ref="D110">IFERROR(_xlfn.IFS(AND(B110&gt;=6,C110&gt;=75),"APROVADO", AND( B110&lt;=5,B110&gt;=4,C110&gt;=65), "RECUPERAÇÃO", AND(B110&lt;=4,C110&lt;=65), "REPROVADO", AND(B110&gt;=6,C108&lt;=75), "RECUPERAÇÃO POR FALTA"), "SEM RESULTADO")</f>
        <v>REPROVADO</v>
      </c>
    </row>
    <row r="111" spans="3:4">
      <c r="C111" s="3"/>
      <c r="D111" s="2" t="str" cm="1">
        <f t="array" ref="D111">IFERROR(_xlfn.IFS(AND(B111&gt;=6,C111&gt;=75),"APROVADO", AND( B111&lt;=5,B111&gt;=4,C111&gt;=65), "RECUPERAÇÃO", AND(B111&lt;=4,C111&lt;=65), "REPROVADO", AND(B111&gt;=6,C109&lt;=75), "RECUPERAÇÃO POR FALTA"), "SEM RESULTADO")</f>
        <v>REPROVADO</v>
      </c>
    </row>
    <row r="112" spans="3:4">
      <c r="C112" s="3"/>
      <c r="D112" s="2" t="str" cm="1">
        <f t="array" ref="D112">IFERROR(_xlfn.IFS(AND(B112&gt;=6,C112&gt;=75),"APROVADO", AND( B112&lt;=5,B112&gt;=4,C112&gt;=65), "RECUPERAÇÃO", AND(B112&lt;=4,C112&lt;=65), "REPROVADO", AND(B112&gt;=6,C110&lt;=75), "RECUPERAÇÃO POR FALTA"), "SEM RESULTADO")</f>
        <v>REPROVADO</v>
      </c>
    </row>
    <row r="113" spans="3:4">
      <c r="C113" s="3"/>
      <c r="D113" s="2" t="str" cm="1">
        <f t="array" ref="D113">IFERROR(_xlfn.IFS(AND(B113&gt;=6,C113&gt;=75),"APROVADO", AND( B113&lt;=5,B113&gt;=4,C113&gt;=65), "RECUPERAÇÃO", AND(B113&lt;=4,C113&lt;=65), "REPROVADO", AND(B113&gt;=6,C111&lt;=75), "RECUPERAÇÃO POR FALTA"), "SEM RESULTADO")</f>
        <v>REPROVADO</v>
      </c>
    </row>
    <row r="114" spans="3:4">
      <c r="C114" s="3"/>
      <c r="D114" s="2" t="str" cm="1">
        <f t="array" ref="D114">IFERROR(_xlfn.IFS(AND(B114&gt;=6,C114&gt;=75),"APROVADO", AND( B114&lt;=5,B114&gt;=4,C114&gt;=65), "RECUPERAÇÃO", AND(B114&lt;=4,C114&lt;=65), "REPROVADO", AND(B114&gt;=6,C112&lt;=75), "RECUPERAÇÃO POR FALTA"), "SEM RESULTADO")</f>
        <v>REPROVADO</v>
      </c>
    </row>
    <row r="115" spans="3:4">
      <c r="C115" s="3"/>
      <c r="D115" s="2" t="str" cm="1">
        <f t="array" ref="D115">IFERROR(_xlfn.IFS(AND(B115&gt;=6,C115&gt;=75),"APROVADO", AND( B115&lt;=5,B115&gt;=4,C115&gt;=65), "RECUPERAÇÃO", AND(B115&lt;=4,C115&lt;=65), "REPROVADO", AND(B115&gt;=6,C113&lt;=75), "RECUPERAÇÃO POR FALTA"), "SEM RESULTADO")</f>
        <v>REPROVADO</v>
      </c>
    </row>
    <row r="116" spans="3:4">
      <c r="C116" s="3"/>
      <c r="D116" s="2" t="str" cm="1">
        <f t="array" ref="D116">IFERROR(_xlfn.IFS(AND(B116&gt;=6,C116&gt;=75),"APROVADO", AND( B116&lt;=5,B116&gt;=4,C116&gt;=65), "RECUPERAÇÃO", AND(B116&lt;=4,C116&lt;=65), "REPROVADO", AND(B116&gt;=6,C114&lt;=75), "RECUPERAÇÃO POR FALTA"), "SEM RESULTADO")</f>
        <v>REPROVADO</v>
      </c>
    </row>
    <row r="117" spans="3:4">
      <c r="C117" s="3"/>
      <c r="D117" s="2" t="str" cm="1">
        <f t="array" ref="D117">IFERROR(_xlfn.IFS(AND(B117&gt;=6,C117&gt;=75),"APROVADO", AND( B117&lt;=5,B117&gt;=4,C117&gt;=65), "RECUPERAÇÃO", AND(B117&lt;=4,C117&lt;=65), "REPROVADO", AND(B117&gt;=6,C115&lt;=75), "RECUPERAÇÃO POR FALTA"), "SEM RESULTADO")</f>
        <v>REPROVADO</v>
      </c>
    </row>
    <row r="118" spans="3:4">
      <c r="C118" s="3"/>
      <c r="D118" s="2" t="str" cm="1">
        <f t="array" ref="D118">IFERROR(_xlfn.IFS(AND(B118&gt;=6,C118&gt;=75),"APROVADO", AND( B118&lt;=5,B118&gt;=4,C118&gt;=65), "RECUPERAÇÃO", AND(B118&lt;=4,C118&lt;=65), "REPROVADO", AND(B118&gt;=6,C116&lt;=75), "RECUPERAÇÃO POR FALTA"), "SEM RESULTADO")</f>
        <v>REPROVADO</v>
      </c>
    </row>
    <row r="119" spans="3:4">
      <c r="C119" s="3"/>
      <c r="D119" s="2" t="str" cm="1">
        <f t="array" ref="D119">IFERROR(_xlfn.IFS(AND(B119&gt;=6,C119&gt;=75),"APROVADO", AND( B119&lt;=5,B119&gt;=4,C119&gt;=65), "RECUPERAÇÃO", AND(B119&lt;=4,C119&lt;=65), "REPROVADO", AND(B119&gt;=6,C117&lt;=75), "RECUPERAÇÃO POR FALTA"), "SEM RESULTADO")</f>
        <v>REPROVADO</v>
      </c>
    </row>
    <row r="120" spans="3:4">
      <c r="C120" s="3"/>
      <c r="D120" s="2" t="str" cm="1">
        <f t="array" ref="D120">IFERROR(_xlfn.IFS(AND(B120&gt;=6,C120&gt;=75),"APROVADO", AND( B120&lt;=5,B120&gt;=4,C120&gt;=65), "RECUPERAÇÃO", AND(B120&lt;=4,C120&lt;=65), "REPROVADO", AND(B120&gt;=6,C118&lt;=75), "RECUPERAÇÃO POR FALTA"), "SEM RESULTADO")</f>
        <v>REPROVADO</v>
      </c>
    </row>
    <row r="121" spans="3:4">
      <c r="C121" s="3"/>
      <c r="D121" s="2" t="str" cm="1">
        <f t="array" ref="D121">IFERROR(_xlfn.IFS(AND(B121&gt;=6,C121&gt;=75),"APROVADO", AND( B121&lt;=5,B121&gt;=4,C121&gt;=65), "RECUPERAÇÃO", AND(B121&lt;=4,C121&lt;=65), "REPROVADO", AND(B121&gt;=6,C119&lt;=75), "RECUPERAÇÃO POR FALTA"), "SEM RESULTADO")</f>
        <v>REPROVADO</v>
      </c>
    </row>
    <row r="122" spans="3:4">
      <c r="C122" s="3"/>
      <c r="D122" s="2" t="str" cm="1">
        <f t="array" ref="D122">IFERROR(_xlfn.IFS(AND(B122&gt;=6,C122&gt;=75),"APROVADO", AND( B122&lt;=5,B122&gt;=4,C122&gt;=65), "RECUPERAÇÃO", AND(B122&lt;=4,C122&lt;=65), "REPROVADO", AND(B122&gt;=6,C120&lt;=75), "RECUPERAÇÃO POR FALTA"), "SEM RESULTADO")</f>
        <v>REPROVADO</v>
      </c>
    </row>
    <row r="123" spans="3:4">
      <c r="C123" s="3"/>
      <c r="D123" s="2" t="str" cm="1">
        <f t="array" ref="D123">IFERROR(_xlfn.IFS(AND(B123&gt;=6,C123&gt;=75),"APROVADO", AND( B123&lt;=5,B123&gt;=4,C123&gt;=65), "RECUPERAÇÃO", AND(B123&lt;=4,C123&lt;=65), "REPROVADO", AND(B123&gt;=6,C121&lt;=75), "RECUPERAÇÃO POR FALTA"), "SEM RESULTADO")</f>
        <v>REPROVADO</v>
      </c>
    </row>
    <row r="124" spans="3:4">
      <c r="C124" s="3"/>
      <c r="D124" s="2" t="str" cm="1">
        <f t="array" ref="D124">IFERROR(_xlfn.IFS(AND(B124&gt;=6,C124&gt;=75),"APROVADO", AND( B124&lt;=5,B124&gt;=4,C124&gt;=65), "RECUPERAÇÃO", AND(B124&lt;=4,C124&lt;=65), "REPROVADO", AND(B124&gt;=6,C122&lt;=75), "RECUPERAÇÃO POR FALTA"), "SEM RESULTADO")</f>
        <v>REPROVADO</v>
      </c>
    </row>
    <row r="125" spans="3:4">
      <c r="C125" s="3"/>
      <c r="D125" s="2" t="str" cm="1">
        <f t="array" ref="D125">IFERROR(_xlfn.IFS(AND(B125&gt;=6,C125&gt;=75),"APROVADO", AND( B125&lt;=5,B125&gt;=4,C125&gt;=65), "RECUPERAÇÃO", AND(B125&lt;=4,C125&lt;=65), "REPROVADO", AND(B125&gt;=6,C123&lt;=75), "RECUPERAÇÃO POR FALTA"), "SEM RESULTADO")</f>
        <v>REPROVADO</v>
      </c>
    </row>
    <row r="126" spans="3:4">
      <c r="C126" s="3"/>
      <c r="D126" s="2" t="str" cm="1">
        <f t="array" ref="D126">IFERROR(_xlfn.IFS(AND(B126&gt;=6,C126&gt;=75),"APROVADO", AND( B126&lt;=5,B126&gt;=4,C126&gt;=65), "RECUPERAÇÃO", AND(B126&lt;=4,C126&lt;=65), "REPROVADO", AND(B126&gt;=6,C124&lt;=75), "RECUPERAÇÃO POR FALTA"), "SEM RESULTADO")</f>
        <v>REPROVADO</v>
      </c>
    </row>
    <row r="127" spans="3:4">
      <c r="C127" s="3"/>
      <c r="D127" s="2" t="str" cm="1">
        <f t="array" ref="D127">IFERROR(_xlfn.IFS(AND(B127&gt;=6,C127&gt;=75),"APROVADO", AND( B127&lt;=5,B127&gt;=4,C127&gt;=65), "RECUPERAÇÃO", AND(B127&lt;=4,C127&lt;=65), "REPROVADO", AND(B127&gt;=6,C125&lt;=75), "RECUPERAÇÃO POR FALTA"), "SEM RESULTADO")</f>
        <v>REPROVADO</v>
      </c>
    </row>
    <row r="128" spans="3:4">
      <c r="C128" s="3"/>
      <c r="D128" s="2" t="str" cm="1">
        <f t="array" ref="D128">IFERROR(_xlfn.IFS(AND(B128&gt;=6,C128&gt;=75),"APROVADO", AND( B128&lt;=5,B128&gt;=4,C128&gt;=65), "RECUPERAÇÃO", AND(B128&lt;=4,C128&lt;=65), "REPROVADO", AND(B128&gt;=6,C126&lt;=75), "RECUPERAÇÃO POR FALTA"), "SEM RESULTADO")</f>
        <v>REPROVADO</v>
      </c>
    </row>
    <row r="129" spans="3:4">
      <c r="C129" s="3"/>
      <c r="D129" s="2" t="str" cm="1">
        <f t="array" ref="D129">IFERROR(_xlfn.IFS(AND(B129&gt;=6,C129&gt;=75),"APROVADO", AND( B129&lt;=5,B129&gt;=4,C129&gt;=65), "RECUPERAÇÃO", AND(B129&lt;=4,C129&lt;=65), "REPROVADO", AND(B129&gt;=6,C127&lt;=75), "RECUPERAÇÃO POR FALTA"), "SEM RESULTADO")</f>
        <v>REPROVADO</v>
      </c>
    </row>
    <row r="130" spans="3:4">
      <c r="C130" s="3"/>
      <c r="D130" s="2" t="str" cm="1">
        <f t="array" ref="D130">IFERROR(_xlfn.IFS(AND(B130&gt;=6,C130&gt;=75),"APROVADO", AND( B130&lt;=5,B130&gt;=4,C130&gt;=65), "RECUPERAÇÃO", AND(B130&lt;=4,C130&lt;=65), "REPROVADO", AND(B130&gt;=6,C128&lt;=75), "RECUPERAÇÃO POR FALTA"), "SEM RESULTADO")</f>
        <v>REPROVADO</v>
      </c>
    </row>
    <row r="131" spans="3:4">
      <c r="C131" s="3"/>
      <c r="D131" s="2" t="str" cm="1">
        <f t="array" ref="D131">IFERROR(_xlfn.IFS(AND(B131&gt;=6,C131&gt;=75),"APROVADO", AND( B131&lt;=5,B131&gt;=4,C131&gt;=65), "RECUPERAÇÃO", AND(B131&lt;=4,C131&lt;=65), "REPROVADO", AND(B131&gt;=6,C129&lt;=75), "RECUPERAÇÃO POR FALTA"), "SEM RESULTADO")</f>
        <v>REPROVADO</v>
      </c>
    </row>
    <row r="132" spans="3:4">
      <c r="C132" s="3"/>
      <c r="D132" s="2" t="str" cm="1">
        <f t="array" ref="D132">IFERROR(_xlfn.IFS(AND(B132&gt;=6,C132&gt;=75),"APROVADO", AND( B132&lt;=5,B132&gt;=4,C132&gt;=65), "RECUPERAÇÃO", AND(B132&lt;=4,C132&lt;=65), "REPROVADO", AND(B132&gt;=6,C130&lt;=75), "RECUPERAÇÃO POR FALTA"), "SEM RESULTADO")</f>
        <v>REPROVADO</v>
      </c>
    </row>
    <row r="133" spans="3:4">
      <c r="C133" s="3"/>
      <c r="D133" s="2" t="str" cm="1">
        <f t="array" ref="D133">IFERROR(_xlfn.IFS(AND(B133&gt;=6,C133&gt;=75),"APROVADO", AND( B133&lt;=5,B133&gt;=4,C133&gt;=65), "RECUPERAÇÃO", AND(B133&lt;=4,C133&lt;=65), "REPROVADO", AND(B133&gt;=6,C131&lt;=75), "RECUPERAÇÃO POR FALTA"), "SEM RESULTADO")</f>
        <v>REPROVADO</v>
      </c>
    </row>
    <row r="134" spans="3:4">
      <c r="C134" s="3"/>
      <c r="D134" s="2" t="str" cm="1">
        <f t="array" ref="D134">IFERROR(_xlfn.IFS(AND(B134&gt;=6,C134&gt;=75),"APROVADO", AND( B134&lt;=5,B134&gt;=4,C134&gt;=65), "RECUPERAÇÃO", AND(B134&lt;=4,C134&lt;=65), "REPROVADO", AND(B134&gt;=6,C132&lt;=75), "RECUPERAÇÃO POR FALTA"), "SEM RESULTADO")</f>
        <v>REPROVADO</v>
      </c>
    </row>
    <row r="135" spans="3:4">
      <c r="C135" s="3"/>
      <c r="D135" s="2" t="str" cm="1">
        <f t="array" ref="D135">IFERROR(_xlfn.IFS(AND(B135&gt;=6,C135&gt;=75),"APROVADO", AND( B135&lt;=5,B135&gt;=4,C135&gt;=65), "RECUPERAÇÃO", AND(B135&lt;=4,C135&lt;=65), "REPROVADO", AND(B135&gt;=6,C133&lt;=75), "RECUPERAÇÃO POR FALTA"), "SEM RESULTADO")</f>
        <v>REPROVADO</v>
      </c>
    </row>
    <row r="136" spans="3:4">
      <c r="C136" s="3"/>
      <c r="D136" s="2" t="str" cm="1">
        <f t="array" ref="D136">IFERROR(_xlfn.IFS(AND(B136&gt;=6,C136&gt;=75),"APROVADO", AND( B136&lt;=5,B136&gt;=4,C136&gt;=65), "RECUPERAÇÃO", AND(B136&lt;=4,C136&lt;=65), "REPROVADO", AND(B136&gt;=6,C134&lt;=75), "RECUPERAÇÃO POR FALTA"), "SEM RESULTADO")</f>
        <v>REPROVADO</v>
      </c>
    </row>
    <row r="137" spans="3:4">
      <c r="C137" s="3"/>
      <c r="D137" s="2" t="str" cm="1">
        <f t="array" ref="D137">IFERROR(_xlfn.IFS(AND(B137&gt;=6,C137&gt;=75),"APROVADO", AND( B137&lt;=5,B137&gt;=4,C137&gt;=65), "RECUPERAÇÃO", AND(B137&lt;=4,C137&lt;=65), "REPROVADO", AND(B137&gt;=6,C135&lt;=75), "RECUPERAÇÃO POR FALTA"), "SEM RESULTADO")</f>
        <v>REPROVADO</v>
      </c>
    </row>
    <row r="138" spans="3:4">
      <c r="C138" s="3"/>
      <c r="D138" s="2" t="str" cm="1">
        <f t="array" ref="D138">IFERROR(_xlfn.IFS(AND(B138&gt;=6,C138&gt;=75),"APROVADO", AND( B138&lt;=5,B138&gt;=4,C138&gt;=65), "RECUPERAÇÃO", AND(B138&lt;=4,C138&lt;=65), "REPROVADO", AND(B138&gt;=6,C136&lt;=75), "RECUPERAÇÃO POR FALTA"), "SEM RESULTADO")</f>
        <v>REPROVADO</v>
      </c>
    </row>
    <row r="139" spans="3:4">
      <c r="C139" s="3"/>
      <c r="D139" s="2" t="str" cm="1">
        <f t="array" ref="D139">IFERROR(_xlfn.IFS(AND(B139&gt;=6,C139&gt;=75),"APROVADO", AND( B139&lt;=5,B139&gt;=4,C139&gt;=65), "RECUPERAÇÃO", AND(B139&lt;=4,C139&lt;=65), "REPROVADO", AND(B139&gt;=6,C137&lt;=75), "RECUPERAÇÃO POR FALTA"), "SEM RESULTADO")</f>
        <v>REPROVADO</v>
      </c>
    </row>
  </sheetData>
  <conditionalFormatting sqref="D1:D1048576">
    <cfRule type="containsText" dxfId="8" priority="7" operator="containsText" text="APROVADO">
      <formula>NOT(ISERROR(SEARCH("APROVADO",D1)))</formula>
    </cfRule>
  </conditionalFormatting>
  <conditionalFormatting sqref="D1:D1048576">
    <cfRule type="containsText" dxfId="7" priority="6" operator="containsText" text="RECUPERAÇÃO">
      <formula>NOT(ISERROR(SEARCH("RECUPERAÇÃO",D1)))</formula>
    </cfRule>
  </conditionalFormatting>
  <conditionalFormatting sqref="D1:D1048576">
    <cfRule type="containsText" dxfId="6" priority="5" operator="containsText" text="REPROVADO">
      <formula>NOT(ISERROR(SEARCH("REPROVADO",D1)))</formula>
    </cfRule>
  </conditionalFormatting>
  <conditionalFormatting sqref="C1:C1048576">
    <cfRule type="cellIs" dxfId="5" priority="4" operator="lessThan">
      <formula>75</formula>
    </cfRule>
  </conditionalFormatting>
  <conditionalFormatting sqref="C1:C1048576">
    <cfRule type="cellIs" dxfId="4" priority="3" operator="greaterThan">
      <formula>75</formula>
    </cfRule>
  </conditionalFormatting>
  <conditionalFormatting sqref="C1:C1048576">
    <cfRule type="cellIs" dxfId="3" priority="2" operator="equal">
      <formula>75</formula>
    </cfRule>
  </conditionalFormatting>
  <conditionalFormatting sqref="B1:B1048576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{11936A86-DC40-4973-9002-C2DA53838C12}</x14:id>
        </ext>
      </extLst>
    </cfRule>
  </conditionalFormatting>
  <dataValidations count="5">
    <dataValidation type="list" allowBlank="1" showInputMessage="1" showErrorMessage="1" sqref="C140:C1048576" xr:uid="{1142BBEB-059E-4EB5-A979-23F4F696CC41}">
      <formula1>"APROVADO, REPROVADO"</formula1>
    </dataValidation>
    <dataValidation showInputMessage="1" showErrorMessage="1" sqref="C6:C139" xr:uid="{FF58607E-EF09-4D3B-8DCF-52B59050B00D}"/>
    <dataValidation type="list" allowBlank="1" showInputMessage="1" showErrorMessage="1" sqref="G2:G1048576" xr:uid="{1DAF9EA3-29F5-449C-8150-9C1197C7C432}">
      <formula1>"JOÃO, GUSTAVO, FILIPE, MATHEUS"</formula1>
    </dataValidation>
    <dataValidation allowBlank="1" showInputMessage="1" showErrorMessage="1" sqref="D1:D140" xr:uid="{75FE5CF0-2C78-4103-A97D-A2C58634926F}"/>
    <dataValidation type="list" allowBlank="1" showInputMessage="1" showErrorMessage="1" sqref="G1 A1:A1048576" xr:uid="{C7A83E41-23C0-457D-9E50-68558989B725}">
      <formula1>$A$2:$A$326</formula1>
    </dataValidation>
  </dataValidations>
  <pageMargins left="0.7" right="0.7" top="0.75" bottom="0.75" header="0.3" footer="0.3"/>
  <tableParts count="2">
    <tablePart r:id="rId1"/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1936A86-DC40-4973-9002-C2DA53838C1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B1:B1048576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B8FA2-C8E3-4621-80C0-BC13F0D77109}">
  <dimension ref="A1:D6"/>
  <sheetViews>
    <sheetView workbookViewId="0">
      <selection activeCell="A4" sqref="A4"/>
    </sheetView>
  </sheetViews>
  <sheetFormatPr defaultRowHeight="15"/>
  <cols>
    <col min="2" max="2" width="11.7109375" bestFit="1" customWidth="1"/>
    <col min="3" max="3" width="9.85546875" bestFit="1" customWidth="1"/>
    <col min="4" max="4" width="10.85546875" bestFit="1" customWidth="1"/>
  </cols>
  <sheetData>
    <row r="1" spans="1:4">
      <c r="A1" t="s">
        <v>17</v>
      </c>
      <c r="B1" t="s">
        <v>24</v>
      </c>
      <c r="C1" t="s">
        <v>25</v>
      </c>
      <c r="D1" t="s">
        <v>26</v>
      </c>
    </row>
    <row r="2" spans="1:4">
      <c r="A2" t="s">
        <v>21</v>
      </c>
      <c r="B2" t="s">
        <v>27</v>
      </c>
      <c r="C2" t="s">
        <v>15</v>
      </c>
      <c r="D2">
        <v>2000</v>
      </c>
    </row>
    <row r="3" spans="1:4">
      <c r="A3" t="s">
        <v>28</v>
      </c>
      <c r="B3" t="s">
        <v>29</v>
      </c>
      <c r="C3" t="s">
        <v>30</v>
      </c>
      <c r="D3">
        <v>5000</v>
      </c>
    </row>
    <row r="4" spans="1:4">
      <c r="A4" t="s">
        <v>31</v>
      </c>
      <c r="B4" t="s">
        <v>27</v>
      </c>
      <c r="C4" t="s">
        <v>15</v>
      </c>
      <c r="D4">
        <v>3000</v>
      </c>
    </row>
    <row r="5" spans="1:4">
      <c r="A5" t="s">
        <v>32</v>
      </c>
      <c r="B5" t="s">
        <v>29</v>
      </c>
      <c r="C5" t="s">
        <v>33</v>
      </c>
      <c r="D5">
        <v>4500</v>
      </c>
    </row>
    <row r="6" spans="1:4">
      <c r="A6" t="s">
        <v>34</v>
      </c>
      <c r="B6" t="s">
        <v>35</v>
      </c>
      <c r="C6" t="s">
        <v>15</v>
      </c>
      <c r="D6">
        <v>4000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A7384-1496-4249-926B-93E73A1E531D}">
  <dimension ref="A1:C14"/>
  <sheetViews>
    <sheetView workbookViewId="0">
      <selection activeCell="F18" sqref="F18"/>
    </sheetView>
  </sheetViews>
  <sheetFormatPr defaultRowHeight="15"/>
  <cols>
    <col min="1" max="1" width="16.7109375" customWidth="1"/>
    <col min="2" max="2" width="11.7109375" customWidth="1"/>
    <col min="3" max="4" width="17.42578125" bestFit="1" customWidth="1"/>
    <col min="5" max="5" width="5.140625" bestFit="1" customWidth="1"/>
    <col min="6" max="6" width="10.7109375" bestFit="1" customWidth="1"/>
    <col min="7" max="7" width="5.140625" bestFit="1" customWidth="1"/>
    <col min="8" max="8" width="8" bestFit="1" customWidth="1"/>
    <col min="9" max="9" width="10.7109375" bestFit="1" customWidth="1"/>
  </cols>
  <sheetData>
    <row r="1" spans="1:3">
      <c r="A1" s="4" t="s">
        <v>25</v>
      </c>
      <c r="B1" t="s">
        <v>36</v>
      </c>
    </row>
    <row r="3" spans="1:3">
      <c r="A3" s="4" t="s">
        <v>17</v>
      </c>
      <c r="B3" s="4" t="s">
        <v>24</v>
      </c>
      <c r="C3" t="s">
        <v>37</v>
      </c>
    </row>
    <row r="4" spans="1:3">
      <c r="A4" t="s">
        <v>28</v>
      </c>
      <c r="B4" t="s">
        <v>29</v>
      </c>
      <c r="C4" s="3">
        <v>5000</v>
      </c>
    </row>
    <row r="5" spans="1:3">
      <c r="A5" t="s">
        <v>38</v>
      </c>
      <c r="C5" s="3">
        <v>5000</v>
      </c>
    </row>
    <row r="6" spans="1:3">
      <c r="A6" t="s">
        <v>32</v>
      </c>
      <c r="B6" t="s">
        <v>29</v>
      </c>
      <c r="C6" s="3">
        <v>4500</v>
      </c>
    </row>
    <row r="7" spans="1:3">
      <c r="A7" t="s">
        <v>39</v>
      </c>
      <c r="C7" s="3">
        <v>4500</v>
      </c>
    </row>
    <row r="8" spans="1:3">
      <c r="A8" t="s">
        <v>21</v>
      </c>
      <c r="B8" t="s">
        <v>27</v>
      </c>
      <c r="C8" s="3">
        <v>2000</v>
      </c>
    </row>
    <row r="9" spans="1:3">
      <c r="A9" t="s">
        <v>40</v>
      </c>
      <c r="C9" s="3">
        <v>2000</v>
      </c>
    </row>
    <row r="10" spans="1:3">
      <c r="A10" t="s">
        <v>34</v>
      </c>
      <c r="B10" t="s">
        <v>35</v>
      </c>
      <c r="C10" s="3">
        <v>4000</v>
      </c>
    </row>
    <row r="11" spans="1:3">
      <c r="A11" t="s">
        <v>41</v>
      </c>
      <c r="C11" s="3">
        <v>4000</v>
      </c>
    </row>
    <row r="12" spans="1:3">
      <c r="A12" t="s">
        <v>31</v>
      </c>
      <c r="B12" t="s">
        <v>27</v>
      </c>
      <c r="C12" s="3">
        <v>3000</v>
      </c>
    </row>
    <row r="13" spans="1:3">
      <c r="A13" t="s">
        <v>42</v>
      </c>
      <c r="C13" s="3">
        <v>3000</v>
      </c>
    </row>
    <row r="14" spans="1:3">
      <c r="A14" t="s">
        <v>43</v>
      </c>
      <c r="C14" s="3">
        <v>3700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62856-FF8C-4663-AB30-35144AFF2D60}">
  <dimension ref="A1:C15"/>
  <sheetViews>
    <sheetView workbookViewId="0">
      <selection activeCell="A16" sqref="A16"/>
    </sheetView>
  </sheetViews>
  <sheetFormatPr defaultRowHeight="15"/>
  <cols>
    <col min="1" max="1" width="13.42578125" bestFit="1" customWidth="1"/>
    <col min="2" max="2" width="13.5703125" bestFit="1" customWidth="1"/>
    <col min="3" max="3" width="34.140625" bestFit="1" customWidth="1"/>
  </cols>
  <sheetData>
    <row r="1" spans="1:3">
      <c r="A1" t="s">
        <v>2</v>
      </c>
      <c r="B1" t="s">
        <v>3</v>
      </c>
      <c r="C1" t="s">
        <v>44</v>
      </c>
    </row>
    <row r="2" spans="1:3">
      <c r="A2" t="s">
        <v>14</v>
      </c>
      <c r="B2" t="s">
        <v>11</v>
      </c>
      <c r="C2">
        <v>50</v>
      </c>
    </row>
    <row r="3" spans="1:3">
      <c r="A3" t="s">
        <v>45</v>
      </c>
      <c r="B3" t="s">
        <v>11</v>
      </c>
      <c r="C3">
        <v>120</v>
      </c>
    </row>
    <row r="4" spans="1:3">
      <c r="A4" t="s">
        <v>46</v>
      </c>
      <c r="B4" t="s">
        <v>47</v>
      </c>
      <c r="C4">
        <v>500</v>
      </c>
    </row>
    <row r="5" spans="1:3">
      <c r="A5" t="s">
        <v>48</v>
      </c>
      <c r="B5" t="s">
        <v>47</v>
      </c>
      <c r="C5">
        <v>800</v>
      </c>
    </row>
    <row r="6" spans="1:3">
      <c r="A6" t="s">
        <v>49</v>
      </c>
      <c r="B6" t="s">
        <v>11</v>
      </c>
      <c r="C6">
        <v>900</v>
      </c>
    </row>
    <row r="10" spans="1:3">
      <c r="A10" t="s">
        <v>47</v>
      </c>
      <c r="B10">
        <f>SUMIF(B2:B6,A10,C2:C6)</f>
        <v>1300</v>
      </c>
    </row>
    <row r="11" spans="1:3">
      <c r="C11">
        <f>COUNTIFS(B2:B6,"INFORMATICA", C2:C6,"&gt;100")</f>
        <v>2</v>
      </c>
    </row>
    <row r="15" spans="1:3">
      <c r="A15" t="s">
        <v>47</v>
      </c>
      <c r="B15">
        <v>300</v>
      </c>
      <c r="C15">
        <f>COUNTIFS(B2:B6,A15,C2:C6,"&gt;"&amp;B15)</f>
        <v>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C4A75-CF29-4899-84E7-C7D628745663}">
  <dimension ref="A1:C51"/>
  <sheetViews>
    <sheetView workbookViewId="0">
      <selection activeCell="C8" sqref="C8"/>
    </sheetView>
  </sheetViews>
  <sheetFormatPr defaultRowHeight="15"/>
  <cols>
    <col min="3" max="3" width="32" customWidth="1"/>
    <col min="4" max="4" width="14.140625" bestFit="1" customWidth="1"/>
  </cols>
  <sheetData>
    <row r="1" spans="1:3">
      <c r="A1" t="s">
        <v>17</v>
      </c>
      <c r="B1" t="s">
        <v>18</v>
      </c>
    </row>
    <row r="2" spans="1:3">
      <c r="A2" t="s">
        <v>50</v>
      </c>
      <c r="B2">
        <v>8</v>
      </c>
      <c r="C2">
        <f>IF(B2="","SEM NOTA",B2)</f>
        <v>8</v>
      </c>
    </row>
    <row r="3" spans="1:3">
      <c r="A3" t="s">
        <v>51</v>
      </c>
      <c r="C3" t="str">
        <f>IF(B3="","SEM NOTA",B3)</f>
        <v>SEM NOTA</v>
      </c>
    </row>
    <row r="4" spans="1:3">
      <c r="A4" t="s">
        <v>52</v>
      </c>
      <c r="B4">
        <v>9</v>
      </c>
      <c r="C4">
        <f>IF(B4="","SEM NOTA",B4)</f>
        <v>9</v>
      </c>
    </row>
    <row r="5" spans="1:3">
      <c r="A5" t="s">
        <v>53</v>
      </c>
      <c r="C5" t="str">
        <f>IF(B5="","SEM NOTA",B5)</f>
        <v>SEM NOTA</v>
      </c>
    </row>
    <row r="6" spans="1:3">
      <c r="A6" t="s">
        <v>54</v>
      </c>
      <c r="B6">
        <v>7</v>
      </c>
      <c r="C6">
        <f>IF(B6="","SEM NOTA",B6)</f>
        <v>7</v>
      </c>
    </row>
    <row r="9" spans="1:3">
      <c r="B9" t="str">
        <f t="shared" ref="B9:B51" si="0">PROPER(LOWER(TRIM(A9)))</f>
        <v/>
      </c>
    </row>
    <row r="10" spans="1:3">
      <c r="B10" t="str">
        <f t="shared" si="0"/>
        <v/>
      </c>
    </row>
    <row r="11" spans="1:3">
      <c r="B11" t="str">
        <f t="shared" si="0"/>
        <v/>
      </c>
    </row>
    <row r="12" spans="1:3">
      <c r="B12" t="str">
        <f t="shared" si="0"/>
        <v/>
      </c>
    </row>
    <row r="13" spans="1:3">
      <c r="B13" t="str">
        <f t="shared" si="0"/>
        <v/>
      </c>
    </row>
    <row r="14" spans="1:3">
      <c r="B14" t="str">
        <f t="shared" si="0"/>
        <v/>
      </c>
    </row>
    <row r="15" spans="1:3">
      <c r="B15" t="str">
        <f t="shared" si="0"/>
        <v/>
      </c>
    </row>
    <row r="16" spans="1:3">
      <c r="B16" t="str">
        <f t="shared" si="0"/>
        <v/>
      </c>
    </row>
    <row r="17" spans="2:2">
      <c r="B17" t="str">
        <f t="shared" si="0"/>
        <v/>
      </c>
    </row>
    <row r="18" spans="2:2">
      <c r="B18" t="str">
        <f t="shared" si="0"/>
        <v/>
      </c>
    </row>
    <row r="19" spans="2:2">
      <c r="B19" t="str">
        <f t="shared" si="0"/>
        <v/>
      </c>
    </row>
    <row r="20" spans="2:2">
      <c r="B20" t="str">
        <f t="shared" si="0"/>
        <v/>
      </c>
    </row>
    <row r="21" spans="2:2">
      <c r="B21" t="str">
        <f t="shared" si="0"/>
        <v/>
      </c>
    </row>
    <row r="22" spans="2:2">
      <c r="B22" t="str">
        <f t="shared" si="0"/>
        <v/>
      </c>
    </row>
    <row r="23" spans="2:2">
      <c r="B23" t="str">
        <f t="shared" si="0"/>
        <v/>
      </c>
    </row>
    <row r="24" spans="2:2">
      <c r="B24" t="str">
        <f t="shared" si="0"/>
        <v/>
      </c>
    </row>
    <row r="25" spans="2:2">
      <c r="B25" t="str">
        <f t="shared" si="0"/>
        <v/>
      </c>
    </row>
    <row r="26" spans="2:2">
      <c r="B26" t="str">
        <f t="shared" si="0"/>
        <v/>
      </c>
    </row>
    <row r="27" spans="2:2">
      <c r="B27" t="str">
        <f t="shared" si="0"/>
        <v/>
      </c>
    </row>
    <row r="28" spans="2:2">
      <c r="B28" t="str">
        <f t="shared" si="0"/>
        <v/>
      </c>
    </row>
    <row r="29" spans="2:2">
      <c r="B29" t="str">
        <f t="shared" si="0"/>
        <v/>
      </c>
    </row>
    <row r="30" spans="2:2">
      <c r="B30" t="str">
        <f t="shared" si="0"/>
        <v/>
      </c>
    </row>
    <row r="31" spans="2:2">
      <c r="B31" t="str">
        <f t="shared" si="0"/>
        <v/>
      </c>
    </row>
    <row r="32" spans="2:2">
      <c r="B32" t="str">
        <f t="shared" si="0"/>
        <v/>
      </c>
    </row>
    <row r="33" spans="2:2">
      <c r="B33" t="str">
        <f t="shared" si="0"/>
        <v/>
      </c>
    </row>
    <row r="34" spans="2:2">
      <c r="B34" t="str">
        <f t="shared" si="0"/>
        <v/>
      </c>
    </row>
    <row r="35" spans="2:2">
      <c r="B35" t="str">
        <f t="shared" si="0"/>
        <v/>
      </c>
    </row>
    <row r="36" spans="2:2">
      <c r="B36" t="str">
        <f t="shared" si="0"/>
        <v/>
      </c>
    </row>
    <row r="37" spans="2:2">
      <c r="B37" t="str">
        <f t="shared" si="0"/>
        <v/>
      </c>
    </row>
    <row r="38" spans="2:2">
      <c r="B38" t="str">
        <f t="shared" si="0"/>
        <v/>
      </c>
    </row>
    <row r="39" spans="2:2">
      <c r="B39" t="str">
        <f t="shared" si="0"/>
        <v/>
      </c>
    </row>
    <row r="40" spans="2:2">
      <c r="B40" t="str">
        <f t="shared" si="0"/>
        <v/>
      </c>
    </row>
    <row r="41" spans="2:2">
      <c r="B41" t="str">
        <f t="shared" si="0"/>
        <v/>
      </c>
    </row>
    <row r="42" spans="2:2">
      <c r="B42" t="str">
        <f t="shared" si="0"/>
        <v/>
      </c>
    </row>
    <row r="43" spans="2:2">
      <c r="B43" t="str">
        <f t="shared" si="0"/>
        <v/>
      </c>
    </row>
    <row r="44" spans="2:2">
      <c r="B44" t="str">
        <f t="shared" si="0"/>
        <v/>
      </c>
    </row>
    <row r="45" spans="2:2">
      <c r="B45" t="str">
        <f t="shared" si="0"/>
        <v/>
      </c>
    </row>
    <row r="46" spans="2:2">
      <c r="B46" t="str">
        <f t="shared" si="0"/>
        <v/>
      </c>
    </row>
    <row r="47" spans="2:2">
      <c r="B47" t="str">
        <f t="shared" si="0"/>
        <v/>
      </c>
    </row>
    <row r="48" spans="2:2">
      <c r="B48" t="str">
        <f t="shared" si="0"/>
        <v/>
      </c>
    </row>
    <row r="49" spans="2:2">
      <c r="B49" t="str">
        <f t="shared" si="0"/>
        <v/>
      </c>
    </row>
    <row r="50" spans="2:2">
      <c r="B50" t="str">
        <f t="shared" si="0"/>
        <v/>
      </c>
    </row>
    <row r="51" spans="2:2">
      <c r="B51" t="str">
        <f t="shared" si="0"/>
        <v/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5AAD1-EE07-4CFA-BBD6-0E73ADA88CD4}">
  <dimension ref="A1:K21"/>
  <sheetViews>
    <sheetView workbookViewId="0">
      <pane ySplit="1" topLeftCell="A2" activePane="bottomLeft" state="frozen"/>
      <selection pane="bottomLeft" activeCell="J7" sqref="J7"/>
    </sheetView>
  </sheetViews>
  <sheetFormatPr defaultRowHeight="15"/>
  <cols>
    <col min="1" max="1" width="11.140625" bestFit="1" customWidth="1"/>
    <col min="2" max="2" width="12.140625" bestFit="1" customWidth="1"/>
    <col min="3" max="3" width="13.5703125" bestFit="1" customWidth="1"/>
    <col min="4" max="4" width="13.28515625" bestFit="1" customWidth="1"/>
    <col min="5" max="5" width="15.42578125" bestFit="1" customWidth="1"/>
    <col min="6" max="6" width="18.7109375" bestFit="1" customWidth="1"/>
    <col min="7" max="7" width="15.5703125" bestFit="1" customWidth="1"/>
    <col min="10" max="10" width="28.28515625" bestFit="1" customWidth="1"/>
    <col min="11" max="11" width="17.28515625" customWidth="1"/>
  </cols>
  <sheetData>
    <row r="1" spans="1:11">
      <c r="A1" t="s">
        <v>0</v>
      </c>
      <c r="B1" t="s">
        <v>2</v>
      </c>
      <c r="C1" t="s">
        <v>3</v>
      </c>
      <c r="D1" t="s">
        <v>1</v>
      </c>
      <c r="E1" t="s">
        <v>5</v>
      </c>
      <c r="F1" t="s">
        <v>55</v>
      </c>
      <c r="G1" t="s">
        <v>56</v>
      </c>
      <c r="J1" t="s">
        <v>57</v>
      </c>
      <c r="K1" t="s">
        <v>58</v>
      </c>
    </row>
    <row r="2" spans="1:11">
      <c r="A2" s="1">
        <v>46143</v>
      </c>
      <c r="B2" t="s">
        <v>14</v>
      </c>
      <c r="C2" t="s">
        <v>11</v>
      </c>
      <c r="D2" t="s">
        <v>9</v>
      </c>
      <c r="E2">
        <v>2</v>
      </c>
      <c r="F2">
        <v>50</v>
      </c>
      <c r="G2">
        <f>E2*F2</f>
        <v>100</v>
      </c>
      <c r="J2" t="s">
        <v>59</v>
      </c>
      <c r="K2">
        <f>SUM(G2:G21)</f>
        <v>13160</v>
      </c>
    </row>
    <row r="3" spans="1:11">
      <c r="A3" s="1">
        <v>46143</v>
      </c>
      <c r="B3" t="s">
        <v>45</v>
      </c>
      <c r="C3" t="s">
        <v>11</v>
      </c>
      <c r="D3" t="s">
        <v>13</v>
      </c>
      <c r="E3">
        <v>1</v>
      </c>
      <c r="F3">
        <v>120</v>
      </c>
      <c r="G3">
        <f t="shared" ref="G3:G66" si="0">E3*F3</f>
        <v>120</v>
      </c>
      <c r="J3" t="s">
        <v>60</v>
      </c>
      <c r="K3">
        <f>AVERAGE(G2:G21)</f>
        <v>658</v>
      </c>
    </row>
    <row r="4" spans="1:11">
      <c r="A4" s="1">
        <v>46144</v>
      </c>
      <c r="B4" t="s">
        <v>49</v>
      </c>
      <c r="C4" t="s">
        <v>11</v>
      </c>
      <c r="D4" t="s">
        <v>22</v>
      </c>
      <c r="E4">
        <v>1</v>
      </c>
      <c r="F4">
        <v>900</v>
      </c>
      <c r="G4">
        <f t="shared" si="0"/>
        <v>900</v>
      </c>
      <c r="J4" t="s">
        <v>61</v>
      </c>
      <c r="K4">
        <f>MAX(G2:G21)</f>
        <v>1800</v>
      </c>
    </row>
    <row r="5" spans="1:11" ht="15.75" customHeight="1">
      <c r="A5" s="1">
        <v>46144</v>
      </c>
      <c r="B5" t="s">
        <v>46</v>
      </c>
      <c r="C5" t="s">
        <v>47</v>
      </c>
      <c r="D5" t="s">
        <v>9</v>
      </c>
      <c r="E5">
        <v>2</v>
      </c>
      <c r="F5">
        <v>500</v>
      </c>
      <c r="G5">
        <f t="shared" si="0"/>
        <v>1000</v>
      </c>
      <c r="J5" t="s">
        <v>62</v>
      </c>
      <c r="K5">
        <f>MIN(G2:G21)</f>
        <v>100</v>
      </c>
    </row>
    <row r="6" spans="1:11" ht="18" customHeight="1">
      <c r="A6" s="1">
        <v>46145</v>
      </c>
      <c r="B6" t="s">
        <v>48</v>
      </c>
      <c r="C6" t="s">
        <v>47</v>
      </c>
      <c r="D6" t="s">
        <v>13</v>
      </c>
      <c r="E6">
        <v>1</v>
      </c>
      <c r="F6">
        <v>800</v>
      </c>
      <c r="G6">
        <f t="shared" si="0"/>
        <v>800</v>
      </c>
      <c r="J6" t="s">
        <v>63</v>
      </c>
      <c r="K6" s="5">
        <f>COUNTA(A2:A21)</f>
        <v>20</v>
      </c>
    </row>
    <row r="7" spans="1:11" ht="15.75" customHeight="1">
      <c r="A7" s="1">
        <v>46145</v>
      </c>
      <c r="B7" t="s">
        <v>14</v>
      </c>
      <c r="C7" t="s">
        <v>11</v>
      </c>
      <c r="D7" t="s">
        <v>22</v>
      </c>
      <c r="E7">
        <v>3</v>
      </c>
      <c r="F7">
        <v>50</v>
      </c>
      <c r="G7">
        <f t="shared" si="0"/>
        <v>150</v>
      </c>
      <c r="J7" t="s">
        <v>64</v>
      </c>
      <c r="K7">
        <f>SUMIF(C2:C21,"INFORMATICA",G2:G21)</f>
        <v>6420</v>
      </c>
    </row>
    <row r="8" spans="1:11">
      <c r="A8" s="1">
        <v>46146</v>
      </c>
      <c r="B8" t="s">
        <v>45</v>
      </c>
      <c r="C8" t="s">
        <v>11</v>
      </c>
      <c r="D8" t="s">
        <v>9</v>
      </c>
      <c r="E8">
        <v>2</v>
      </c>
      <c r="F8">
        <v>120</v>
      </c>
      <c r="G8">
        <f t="shared" si="0"/>
        <v>240</v>
      </c>
      <c r="J8" t="s">
        <v>65</v>
      </c>
      <c r="K8" s="5">
        <f>SUMIF(C2:C21,"ESCRITORIO",G2:G21)</f>
        <v>6740</v>
      </c>
    </row>
    <row r="9" spans="1:11">
      <c r="A9" s="1">
        <v>46146</v>
      </c>
      <c r="B9" t="s">
        <v>46</v>
      </c>
      <c r="C9" t="s">
        <v>47</v>
      </c>
      <c r="D9" t="s">
        <v>13</v>
      </c>
      <c r="E9">
        <v>1</v>
      </c>
      <c r="F9">
        <v>500</v>
      </c>
      <c r="G9">
        <f t="shared" si="0"/>
        <v>500</v>
      </c>
    </row>
    <row r="10" spans="1:11">
      <c r="A10" s="1">
        <v>46147</v>
      </c>
      <c r="B10" t="s">
        <v>49</v>
      </c>
      <c r="C10" t="s">
        <v>11</v>
      </c>
      <c r="D10" t="s">
        <v>22</v>
      </c>
      <c r="E10">
        <v>2</v>
      </c>
      <c r="F10">
        <v>900</v>
      </c>
      <c r="G10">
        <f t="shared" si="0"/>
        <v>1800</v>
      </c>
    </row>
    <row r="11" spans="1:11">
      <c r="A11" s="1">
        <v>46147</v>
      </c>
      <c r="B11" t="s">
        <v>48</v>
      </c>
      <c r="C11" t="s">
        <v>47</v>
      </c>
      <c r="D11" t="s">
        <v>9</v>
      </c>
      <c r="E11">
        <v>1</v>
      </c>
      <c r="F11">
        <v>800</v>
      </c>
      <c r="G11">
        <f t="shared" si="0"/>
        <v>800</v>
      </c>
    </row>
    <row r="12" spans="1:11">
      <c r="A12" s="1">
        <v>46148</v>
      </c>
      <c r="B12" t="s">
        <v>14</v>
      </c>
      <c r="C12" t="s">
        <v>11</v>
      </c>
      <c r="D12" t="s">
        <v>13</v>
      </c>
      <c r="E12">
        <v>4</v>
      </c>
      <c r="F12">
        <v>50</v>
      </c>
      <c r="G12">
        <f t="shared" si="0"/>
        <v>200</v>
      </c>
    </row>
    <row r="13" spans="1:11">
      <c r="A13" s="1">
        <v>46148</v>
      </c>
      <c r="B13" t="s">
        <v>45</v>
      </c>
      <c r="C13" t="s">
        <v>47</v>
      </c>
      <c r="D13" t="s">
        <v>22</v>
      </c>
      <c r="E13">
        <v>2</v>
      </c>
      <c r="F13">
        <v>120</v>
      </c>
      <c r="G13">
        <f t="shared" si="0"/>
        <v>240</v>
      </c>
    </row>
    <row r="14" spans="1:11">
      <c r="A14" s="1">
        <v>46149</v>
      </c>
      <c r="B14" t="s">
        <v>46</v>
      </c>
      <c r="C14" t="s">
        <v>11</v>
      </c>
      <c r="D14" t="s">
        <v>9</v>
      </c>
      <c r="E14">
        <v>1</v>
      </c>
      <c r="F14">
        <v>500</v>
      </c>
      <c r="G14">
        <f t="shared" si="0"/>
        <v>500</v>
      </c>
    </row>
    <row r="15" spans="1:11">
      <c r="A15" s="1">
        <v>46149</v>
      </c>
      <c r="B15" t="s">
        <v>49</v>
      </c>
      <c r="C15" t="s">
        <v>11</v>
      </c>
      <c r="D15" t="s">
        <v>13</v>
      </c>
      <c r="E15">
        <v>1</v>
      </c>
      <c r="F15">
        <v>900</v>
      </c>
      <c r="G15">
        <f t="shared" si="0"/>
        <v>900</v>
      </c>
    </row>
    <row r="16" spans="1:11">
      <c r="A16" s="1">
        <v>46150</v>
      </c>
      <c r="B16" t="s">
        <v>48</v>
      </c>
      <c r="C16" t="s">
        <v>47</v>
      </c>
      <c r="D16" t="s">
        <v>22</v>
      </c>
      <c r="E16">
        <v>2</v>
      </c>
      <c r="F16">
        <v>800</v>
      </c>
      <c r="G16">
        <f t="shared" si="0"/>
        <v>1600</v>
      </c>
    </row>
    <row r="17" spans="1:7">
      <c r="A17" s="1">
        <v>46150</v>
      </c>
      <c r="B17" t="s">
        <v>14</v>
      </c>
      <c r="C17" t="s">
        <v>11</v>
      </c>
      <c r="D17" t="s">
        <v>9</v>
      </c>
      <c r="E17">
        <v>5</v>
      </c>
      <c r="F17">
        <v>50</v>
      </c>
      <c r="G17">
        <f t="shared" si="0"/>
        <v>250</v>
      </c>
    </row>
    <row r="18" spans="1:7">
      <c r="A18" s="1">
        <v>46151</v>
      </c>
      <c r="B18" t="s">
        <v>45</v>
      </c>
      <c r="C18" t="s">
        <v>11</v>
      </c>
      <c r="D18" t="s">
        <v>13</v>
      </c>
      <c r="E18">
        <v>3</v>
      </c>
      <c r="F18">
        <v>120</v>
      </c>
      <c r="G18">
        <f t="shared" si="0"/>
        <v>360</v>
      </c>
    </row>
    <row r="19" spans="1:7">
      <c r="A19" s="1">
        <v>46151</v>
      </c>
      <c r="B19" t="s">
        <v>46</v>
      </c>
      <c r="C19" t="s">
        <v>47</v>
      </c>
      <c r="D19" t="s">
        <v>22</v>
      </c>
      <c r="E19">
        <v>2</v>
      </c>
      <c r="F19">
        <v>500</v>
      </c>
      <c r="G19">
        <f t="shared" si="0"/>
        <v>1000</v>
      </c>
    </row>
    <row r="20" spans="1:7">
      <c r="A20" s="1">
        <v>46152</v>
      </c>
      <c r="B20" t="s">
        <v>49</v>
      </c>
      <c r="C20" t="s">
        <v>11</v>
      </c>
      <c r="D20" t="s">
        <v>9</v>
      </c>
      <c r="E20">
        <v>1</v>
      </c>
      <c r="F20">
        <v>900</v>
      </c>
      <c r="G20">
        <f t="shared" si="0"/>
        <v>900</v>
      </c>
    </row>
    <row r="21" spans="1:7">
      <c r="A21" s="1">
        <v>46152</v>
      </c>
      <c r="B21" t="s">
        <v>48</v>
      </c>
      <c r="C21" t="s">
        <v>47</v>
      </c>
      <c r="D21" t="s">
        <v>13</v>
      </c>
      <c r="E21">
        <v>1</v>
      </c>
      <c r="F21">
        <v>800</v>
      </c>
      <c r="G21">
        <f t="shared" si="0"/>
        <v>800</v>
      </c>
    </row>
  </sheetData>
  <dataValidations count="2">
    <dataValidation allowBlank="1" showInputMessage="1" showErrorMessage="1" sqref="D1 D3:D1048576" xr:uid="{4CEA8F1F-0E10-42CA-9D98-615D809BAD17}"/>
    <dataValidation type="custom" allowBlank="1" showInputMessage="1" showErrorMessage="1" sqref="D2" xr:uid="{0A6FF888-43BE-4FAB-83F4-CF79FE7BD67F}">
      <formula1>"D2:D21"</formula1>
    </dataValidation>
  </dataValidations>
  <pageMargins left="0.7" right="0.7" top="0.75" bottom="0.75" header="0.3" footer="0.3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D6551-8816-4BE7-A5B0-955A21B0694D}">
  <dimension ref="A1:B7"/>
  <sheetViews>
    <sheetView tabSelected="1" workbookViewId="0">
      <selection activeCell="B13" sqref="B13"/>
    </sheetView>
  </sheetViews>
  <sheetFormatPr defaultRowHeight="15"/>
  <cols>
    <col min="1" max="1" width="13" bestFit="1" customWidth="1"/>
    <col min="2" max="2" width="21.42578125" bestFit="1" customWidth="1"/>
  </cols>
  <sheetData>
    <row r="1" spans="1:2">
      <c r="A1" s="4" t="s">
        <v>2</v>
      </c>
      <c r="B1" t="s">
        <v>66</v>
      </c>
    </row>
    <row r="2" spans="1:2">
      <c r="A2" t="s">
        <v>49</v>
      </c>
      <c r="B2" s="3">
        <v>4500</v>
      </c>
    </row>
    <row r="3" spans="1:2">
      <c r="A3" t="s">
        <v>48</v>
      </c>
      <c r="B3" s="3">
        <v>4000</v>
      </c>
    </row>
    <row r="4" spans="1:2">
      <c r="A4" t="s">
        <v>46</v>
      </c>
      <c r="B4" s="3">
        <v>3000</v>
      </c>
    </row>
    <row r="5" spans="1:2">
      <c r="A5" t="s">
        <v>45</v>
      </c>
      <c r="B5" s="3">
        <v>960</v>
      </c>
    </row>
    <row r="6" spans="1:2">
      <c r="A6" t="s">
        <v>14</v>
      </c>
      <c r="B6" s="3">
        <v>700</v>
      </c>
    </row>
    <row r="7" spans="1:2">
      <c r="A7" t="s">
        <v>43</v>
      </c>
      <c r="B7" s="3">
        <v>13160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2026-05-22T19:53:35Z</dcterms:created>
  <dcterms:modified xsi:type="dcterms:W3CDTF">2026-06-03T14:52:08Z</dcterms:modified>
  <cp:category/>
  <cp:contentStatus/>
</cp:coreProperties>
</file>